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u2\report#8\"/>
    </mc:Choice>
  </mc:AlternateContent>
  <xr:revisionPtr revIDLastSave="0" documentId="13_ncr:1_{6BF33325-824F-4C42-BE3C-CE591DE217B6}" xr6:coauthVersionLast="47" xr6:coauthVersionMax="47" xr10:uidLastSave="{00000000-0000-0000-0000-000000000000}"/>
  <bookViews>
    <workbookView xWindow="-98" yWindow="-98" windowWidth="21795" windowHeight="12975" xr2:uid="{9EE82069-6D86-435D-93DA-027F1DAA98F0}"/>
  </bookViews>
  <sheets>
    <sheet name="test0.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2" i="1"/>
  <c r="E3" i="1" l="1"/>
  <c r="E2" i="1"/>
  <c r="F2" i="1" s="1"/>
  <c r="H18" i="1" l="1"/>
  <c r="H40" i="1"/>
  <c r="H63" i="1"/>
  <c r="H85" i="1"/>
  <c r="H19" i="1"/>
  <c r="H41" i="1"/>
  <c r="H64" i="1"/>
  <c r="H86" i="1"/>
  <c r="H20" i="1"/>
  <c r="H42" i="1"/>
  <c r="H65" i="1"/>
  <c r="H87" i="1"/>
  <c r="H21" i="1"/>
  <c r="H43" i="1"/>
  <c r="H66" i="1"/>
  <c r="H88" i="1"/>
  <c r="H22" i="1"/>
  <c r="H44" i="1"/>
  <c r="H67" i="1"/>
  <c r="H89" i="1"/>
  <c r="H23" i="1"/>
  <c r="H68" i="1"/>
  <c r="H90" i="1"/>
  <c r="H24" i="1"/>
  <c r="H47" i="1"/>
  <c r="H69" i="1"/>
  <c r="H3" i="1"/>
  <c r="H25" i="1"/>
  <c r="H70" i="1"/>
  <c r="H26" i="1"/>
  <c r="H71" i="1"/>
  <c r="H5" i="1"/>
  <c r="H50" i="1"/>
  <c r="H28" i="1"/>
  <c r="H73" i="1"/>
  <c r="H29" i="1"/>
  <c r="H74" i="1"/>
  <c r="H30" i="1"/>
  <c r="H75" i="1"/>
  <c r="H31" i="1"/>
  <c r="H76" i="1"/>
  <c r="H10" i="1"/>
  <c r="H55" i="1"/>
  <c r="H33" i="1"/>
  <c r="H78" i="1"/>
  <c r="H12" i="1"/>
  <c r="H79" i="1"/>
  <c r="H13" i="1"/>
  <c r="H58" i="1"/>
  <c r="H36" i="1"/>
  <c r="H81" i="1"/>
  <c r="H37" i="1"/>
  <c r="H82" i="1"/>
  <c r="H16" i="1"/>
  <c r="H38" i="1"/>
  <c r="H83" i="1"/>
  <c r="H17" i="1"/>
  <c r="H62" i="1"/>
  <c r="H45" i="1"/>
  <c r="H48" i="1"/>
  <c r="H4" i="1"/>
  <c r="H49" i="1"/>
  <c r="H27" i="1"/>
  <c r="H72" i="1"/>
  <c r="H6" i="1"/>
  <c r="H51" i="1"/>
  <c r="H7" i="1"/>
  <c r="H52" i="1"/>
  <c r="H8" i="1"/>
  <c r="H53" i="1"/>
  <c r="H9" i="1"/>
  <c r="H54" i="1"/>
  <c r="H32" i="1"/>
  <c r="H77" i="1"/>
  <c r="H11" i="1"/>
  <c r="H56" i="1"/>
  <c r="H34" i="1"/>
  <c r="H57" i="1"/>
  <c r="H35" i="1"/>
  <c r="H80" i="1"/>
  <c r="H14" i="1"/>
  <c r="H59" i="1"/>
  <c r="H15" i="1"/>
  <c r="H60" i="1"/>
  <c r="H61" i="1"/>
  <c r="H39" i="1"/>
  <c r="H84" i="1"/>
  <c r="H2" i="1"/>
</calcChain>
</file>

<file path=xl/sharedStrings.xml><?xml version="1.0" encoding="utf-8"?>
<sst xmlns="http://schemas.openxmlformats.org/spreadsheetml/2006/main" count="4" uniqueCount="4">
  <si>
    <t>Points_0</t>
  </si>
  <si>
    <t>Pressure_Coefficient</t>
  </si>
  <si>
    <t>x</t>
    <phoneticPr fontId="18" type="noConversion"/>
  </si>
  <si>
    <t>cp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</si>
</sst>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section 0.2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0539370078740152E-2"/>
          <c:y val="0.17171296296296296"/>
          <c:w val="0.88226618547681535"/>
          <c:h val="0.77736111111111106"/>
        </c:manualLayout>
      </c:layout>
      <c:scatterChart>
        <c:scatterStyle val="lineMarker"/>
        <c:varyColors val="0"/>
        <c:ser>
          <c:idx val="0"/>
          <c:order val="0"/>
          <c:tx>
            <c:v>su2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test0.2!$H$2:$H$91</c:f>
              <c:numCache>
                <c:formatCode>General</c:formatCode>
                <c:ptCount val="90"/>
                <c:pt idx="0">
                  <c:v>0.9860429441595373</c:v>
                </c:pt>
                <c:pt idx="1">
                  <c:v>0.97172822431380879</c:v>
                </c:pt>
                <c:pt idx="2">
                  <c:v>0.95674441438978863</c:v>
                </c:pt>
                <c:pt idx="3">
                  <c:v>0.94083312594260793</c:v>
                </c:pt>
                <c:pt idx="4">
                  <c:v>0.92378084852045428</c:v>
                </c:pt>
                <c:pt idx="5">
                  <c:v>0.90541894966457104</c:v>
                </c:pt>
                <c:pt idx="6">
                  <c:v>0.88561959509170762</c:v>
                </c:pt>
                <c:pt idx="7">
                  <c:v>0.8642957486941184</c:v>
                </c:pt>
                <c:pt idx="8">
                  <c:v>0.84140253247874752</c:v>
                </c:pt>
                <c:pt idx="9">
                  <c:v>0.81692770699294337</c:v>
                </c:pt>
                <c:pt idx="10">
                  <c:v>0.79089303126364197</c:v>
                </c:pt>
                <c:pt idx="11">
                  <c:v>0.76334882304063367</c:v>
                </c:pt>
                <c:pt idx="12">
                  <c:v>0.73437803861411333</c:v>
                </c:pt>
                <c:pt idx="13">
                  <c:v>0.7040813134836611</c:v>
                </c:pt>
                <c:pt idx="14">
                  <c:v>0.67258512199334441</c:v>
                </c:pt>
                <c:pt idx="15">
                  <c:v>0.64003225775743311</c:v>
                </c:pt>
                <c:pt idx="16">
                  <c:v>0.60658591347794921</c:v>
                </c:pt>
                <c:pt idx="17">
                  <c:v>0.57241608155283297</c:v>
                </c:pt>
                <c:pt idx="18">
                  <c:v>0.53771315346777704</c:v>
                </c:pt>
                <c:pt idx="19">
                  <c:v>0.50267296046520804</c:v>
                </c:pt>
                <c:pt idx="20">
                  <c:v>0.46750221330102121</c:v>
                </c:pt>
                <c:pt idx="21">
                  <c:v>0.43241578236621259</c:v>
                </c:pt>
                <c:pt idx="22">
                  <c:v>0.39762853805177834</c:v>
                </c:pt>
                <c:pt idx="23">
                  <c:v>0.36335399080953101</c:v>
                </c:pt>
                <c:pt idx="24">
                  <c:v>0.32980157127373266</c:v>
                </c:pt>
                <c:pt idx="25">
                  <c:v>0.29717527032191127</c:v>
                </c:pt>
                <c:pt idx="26">
                  <c:v>0.26566547943975949</c:v>
                </c:pt>
                <c:pt idx="27">
                  <c:v>0.23545443047786907</c:v>
                </c:pt>
                <c:pt idx="28">
                  <c:v>0.20670395619907878</c:v>
                </c:pt>
                <c:pt idx="29">
                  <c:v>0.1795663697919429</c:v>
                </c:pt>
                <c:pt idx="30">
                  <c:v>0.15416814560052877</c:v>
                </c:pt>
                <c:pt idx="31">
                  <c:v>0.13061807875951786</c:v>
                </c:pt>
                <c:pt idx="32">
                  <c:v>0.108999125559105</c:v>
                </c:pt>
                <c:pt idx="33">
                  <c:v>8.9367043505814425E-2</c:v>
                </c:pt>
                <c:pt idx="34">
                  <c:v>7.1742231687398933E-2</c:v>
                </c:pt>
                <c:pt idx="35">
                  <c:v>5.6116530468757433E-2</c:v>
                </c:pt>
                <c:pt idx="36">
                  <c:v>4.244098203928319E-2</c:v>
                </c:pt>
                <c:pt idx="37">
                  <c:v>3.0680227980204724E-2</c:v>
                </c:pt>
                <c:pt idx="38">
                  <c:v>2.0875066467027598E-2</c:v>
                </c:pt>
                <c:pt idx="39">
                  <c:v>1.3085334823826667E-2</c:v>
                </c:pt>
                <c:pt idx="40">
                  <c:v>7.264795118362288E-3</c:v>
                </c:pt>
                <c:pt idx="41">
                  <c:v>3.2284956216757817E-3</c:v>
                </c:pt>
                <c:pt idx="42">
                  <c:v>8.1596351011181353E-4</c:v>
                </c:pt>
                <c:pt idx="43">
                  <c:v>0</c:v>
                </c:pt>
                <c:pt idx="45">
                  <c:v>8.1596351011181353E-4</c:v>
                </c:pt>
                <c:pt idx="46">
                  <c:v>3.2284956216757817E-3</c:v>
                </c:pt>
                <c:pt idx="47">
                  <c:v>7.264795118362288E-3</c:v>
                </c:pt>
                <c:pt idx="48">
                  <c:v>1.3085334823826667E-2</c:v>
                </c:pt>
                <c:pt idx="49">
                  <c:v>2.0875066467027598E-2</c:v>
                </c:pt>
                <c:pt idx="50">
                  <c:v>3.0680227980204724E-2</c:v>
                </c:pt>
                <c:pt idx="51">
                  <c:v>4.244098203928319E-2</c:v>
                </c:pt>
                <c:pt idx="52">
                  <c:v>5.6116530468757433E-2</c:v>
                </c:pt>
                <c:pt idx="53">
                  <c:v>7.1742231687398933E-2</c:v>
                </c:pt>
                <c:pt idx="54">
                  <c:v>8.9367043505814425E-2</c:v>
                </c:pt>
                <c:pt idx="55">
                  <c:v>0.108999125559105</c:v>
                </c:pt>
                <c:pt idx="56">
                  <c:v>0.13061807875951786</c:v>
                </c:pt>
                <c:pt idx="57">
                  <c:v>0.15416814560052877</c:v>
                </c:pt>
                <c:pt idx="58">
                  <c:v>0.1795663697919429</c:v>
                </c:pt>
                <c:pt idx="59">
                  <c:v>0.20670395619907878</c:v>
                </c:pt>
                <c:pt idx="60">
                  <c:v>0.23545443047786907</c:v>
                </c:pt>
                <c:pt idx="61">
                  <c:v>0.26566547943975949</c:v>
                </c:pt>
                <c:pt idx="62">
                  <c:v>0.29717527032191127</c:v>
                </c:pt>
                <c:pt idx="63">
                  <c:v>0.32980157127373266</c:v>
                </c:pt>
                <c:pt idx="64">
                  <c:v>0.36335399080953101</c:v>
                </c:pt>
                <c:pt idx="65">
                  <c:v>0.39762853805177834</c:v>
                </c:pt>
                <c:pt idx="66">
                  <c:v>0.43241578236621259</c:v>
                </c:pt>
                <c:pt idx="67">
                  <c:v>0.46750221330102121</c:v>
                </c:pt>
                <c:pt idx="68">
                  <c:v>0.50267296046520804</c:v>
                </c:pt>
                <c:pt idx="69">
                  <c:v>0.53771315346777704</c:v>
                </c:pt>
                <c:pt idx="70">
                  <c:v>0.57241608155283297</c:v>
                </c:pt>
                <c:pt idx="71">
                  <c:v>0.60658591347794921</c:v>
                </c:pt>
                <c:pt idx="72">
                  <c:v>0.64003225775743311</c:v>
                </c:pt>
                <c:pt idx="73">
                  <c:v>0.67258512199334441</c:v>
                </c:pt>
                <c:pt idx="74">
                  <c:v>0.7040813134836611</c:v>
                </c:pt>
                <c:pt idx="75">
                  <c:v>0.73437803861411333</c:v>
                </c:pt>
                <c:pt idx="76">
                  <c:v>0.76334882304063367</c:v>
                </c:pt>
                <c:pt idx="77">
                  <c:v>0.79089303126364197</c:v>
                </c:pt>
                <c:pt idx="78">
                  <c:v>0.81692770699294337</c:v>
                </c:pt>
                <c:pt idx="79">
                  <c:v>0.84140253247874752</c:v>
                </c:pt>
                <c:pt idx="80">
                  <c:v>0.8642957486941184</c:v>
                </c:pt>
                <c:pt idx="81">
                  <c:v>0.88561959509170762</c:v>
                </c:pt>
                <c:pt idx="82">
                  <c:v>0.90541894966457104</c:v>
                </c:pt>
                <c:pt idx="83">
                  <c:v>0.92378084852045428</c:v>
                </c:pt>
                <c:pt idx="84">
                  <c:v>0.94083312594260793</c:v>
                </c:pt>
                <c:pt idx="85">
                  <c:v>0.95674441438978863</c:v>
                </c:pt>
                <c:pt idx="86">
                  <c:v>0.97172822431380879</c:v>
                </c:pt>
                <c:pt idx="87">
                  <c:v>0.9860429441595373</c:v>
                </c:pt>
                <c:pt idx="88">
                  <c:v>1</c:v>
                </c:pt>
              </c:numCache>
            </c:numRef>
          </c:xVal>
          <c:yVal>
            <c:numRef>
              <c:f>test0.2!$I$2:$I$91</c:f>
              <c:numCache>
                <c:formatCode>General</c:formatCode>
                <c:ptCount val="90"/>
                <c:pt idx="0">
                  <c:v>0.102275</c:v>
                </c:pt>
                <c:pt idx="1">
                  <c:v>9.0379299999999996E-2</c:v>
                </c:pt>
                <c:pt idx="2">
                  <c:v>7.9886399999999996E-2</c:v>
                </c:pt>
                <c:pt idx="3">
                  <c:v>6.7414199999999994E-2</c:v>
                </c:pt>
                <c:pt idx="4">
                  <c:v>5.2965900000000003E-2</c:v>
                </c:pt>
                <c:pt idx="5">
                  <c:v>3.6476399999999999E-2</c:v>
                </c:pt>
                <c:pt idx="6">
                  <c:v>1.72176E-2</c:v>
                </c:pt>
                <c:pt idx="7">
                  <c:v>-4.7238699999999998E-3</c:v>
                </c:pt>
                <c:pt idx="8">
                  <c:v>-2.9998299999999999E-2</c:v>
                </c:pt>
                <c:pt idx="9">
                  <c:v>-5.8698300000000002E-2</c:v>
                </c:pt>
                <c:pt idx="10">
                  <c:v>-9.1172900000000001E-2</c:v>
                </c:pt>
                <c:pt idx="11">
                  <c:v>-0.127692</c:v>
                </c:pt>
                <c:pt idx="12">
                  <c:v>-0.17258100000000001</c:v>
                </c:pt>
                <c:pt idx="13">
                  <c:v>-0.23652799999999999</c:v>
                </c:pt>
                <c:pt idx="14">
                  <c:v>-0.33435500000000001</c:v>
                </c:pt>
                <c:pt idx="15">
                  <c:v>-0.48400500000000002</c:v>
                </c:pt>
                <c:pt idx="16">
                  <c:v>-0.65665099999999998</c:v>
                </c:pt>
                <c:pt idx="17">
                  <c:v>-0.77360600000000002</c:v>
                </c:pt>
                <c:pt idx="18">
                  <c:v>-0.81310300000000002</c:v>
                </c:pt>
                <c:pt idx="19">
                  <c:v>-0.80704100000000001</c:v>
                </c:pt>
                <c:pt idx="20">
                  <c:v>-0.787802</c:v>
                </c:pt>
                <c:pt idx="21">
                  <c:v>-0.76621099999999998</c:v>
                </c:pt>
                <c:pt idx="22">
                  <c:v>-0.74359799999999998</c:v>
                </c:pt>
                <c:pt idx="23">
                  <c:v>-0.72120700000000004</c:v>
                </c:pt>
                <c:pt idx="24">
                  <c:v>-0.70013800000000004</c:v>
                </c:pt>
                <c:pt idx="25">
                  <c:v>-0.68232400000000004</c:v>
                </c:pt>
                <c:pt idx="26">
                  <c:v>-0.66916299999999995</c:v>
                </c:pt>
                <c:pt idx="27">
                  <c:v>-0.66183400000000003</c:v>
                </c:pt>
                <c:pt idx="28">
                  <c:v>-0.66394699999999995</c:v>
                </c:pt>
                <c:pt idx="29">
                  <c:v>-0.68135900000000005</c:v>
                </c:pt>
                <c:pt idx="30">
                  <c:v>-0.72189599999999998</c:v>
                </c:pt>
                <c:pt idx="31">
                  <c:v>-0.79255699999999996</c:v>
                </c:pt>
                <c:pt idx="32">
                  <c:v>-0.87668699999999999</c:v>
                </c:pt>
                <c:pt idx="33">
                  <c:v>-0.961229</c:v>
                </c:pt>
                <c:pt idx="34">
                  <c:v>-1.0531600000000001</c:v>
                </c:pt>
                <c:pt idx="35">
                  <c:v>-1.1437900000000001</c:v>
                </c:pt>
                <c:pt idx="36">
                  <c:v>-1.1982900000000001</c:v>
                </c:pt>
                <c:pt idx="37">
                  <c:v>-1.16472</c:v>
                </c:pt>
                <c:pt idx="38">
                  <c:v>-1.0038100000000001</c:v>
                </c:pt>
                <c:pt idx="39">
                  <c:v>-0.71963100000000002</c:v>
                </c:pt>
                <c:pt idx="40">
                  <c:v>-0.360794</c:v>
                </c:pt>
                <c:pt idx="41">
                  <c:v>2.2147300000000002E-2</c:v>
                </c:pt>
                <c:pt idx="42">
                  <c:v>0.40220699999999998</c:v>
                </c:pt>
                <c:pt idx="43">
                  <c:v>0.71657199999999999</c:v>
                </c:pt>
                <c:pt idx="45">
                  <c:v>0.86929100000000004</c:v>
                </c:pt>
                <c:pt idx="46">
                  <c:v>0.85227299999999995</c:v>
                </c:pt>
                <c:pt idx="47">
                  <c:v>0.717947</c:v>
                </c:pt>
                <c:pt idx="48">
                  <c:v>0.52597899999999997</c:v>
                </c:pt>
                <c:pt idx="49">
                  <c:v>0.351939</c:v>
                </c:pt>
                <c:pt idx="50">
                  <c:v>0.25823800000000002</c:v>
                </c:pt>
                <c:pt idx="51">
                  <c:v>0.23990800000000001</c:v>
                </c:pt>
                <c:pt idx="52">
                  <c:v>0.23277600000000001</c:v>
                </c:pt>
                <c:pt idx="53">
                  <c:v>0.206454</c:v>
                </c:pt>
                <c:pt idx="54">
                  <c:v>0.17424600000000001</c:v>
                </c:pt>
                <c:pt idx="55">
                  <c:v>0.143902</c:v>
                </c:pt>
                <c:pt idx="56">
                  <c:v>0.115317</c:v>
                </c:pt>
                <c:pt idx="57">
                  <c:v>8.8567099999999996E-2</c:v>
                </c:pt>
                <c:pt idx="58">
                  <c:v>6.3100400000000001E-2</c:v>
                </c:pt>
                <c:pt idx="59">
                  <c:v>3.8047699999999997E-2</c:v>
                </c:pt>
                <c:pt idx="60">
                  <c:v>1.26455E-2</c:v>
                </c:pt>
                <c:pt idx="61">
                  <c:v>-1.36189E-2</c:v>
                </c:pt>
                <c:pt idx="62">
                  <c:v>-4.0762899999999998E-2</c:v>
                </c:pt>
                <c:pt idx="63">
                  <c:v>-6.8268099999999998E-2</c:v>
                </c:pt>
                <c:pt idx="64">
                  <c:v>-9.5007999999999995E-2</c:v>
                </c:pt>
                <c:pt idx="65">
                  <c:v>-0.119419</c:v>
                </c:pt>
                <c:pt idx="66">
                  <c:v>-0.13970199999999999</c:v>
                </c:pt>
                <c:pt idx="67">
                  <c:v>-0.15423300000000001</c:v>
                </c:pt>
                <c:pt idx="68">
                  <c:v>-0.161909</c:v>
                </c:pt>
                <c:pt idx="69">
                  <c:v>-0.16262199999999999</c:v>
                </c:pt>
                <c:pt idx="70">
                  <c:v>-0.157198</c:v>
                </c:pt>
                <c:pt idx="71">
                  <c:v>-0.147338</c:v>
                </c:pt>
                <c:pt idx="72">
                  <c:v>-0.13492499999999999</c:v>
                </c:pt>
                <c:pt idx="73">
                  <c:v>-0.12170300000000001</c:v>
                </c:pt>
                <c:pt idx="74">
                  <c:v>-0.10867300000000001</c:v>
                </c:pt>
                <c:pt idx="75">
                  <c:v>-9.6385200000000004E-2</c:v>
                </c:pt>
                <c:pt idx="76">
                  <c:v>-8.4507100000000002E-2</c:v>
                </c:pt>
                <c:pt idx="77">
                  <c:v>-7.2599499999999997E-2</c:v>
                </c:pt>
                <c:pt idx="78">
                  <c:v>-5.9626899999999997E-2</c:v>
                </c:pt>
                <c:pt idx="79">
                  <c:v>-4.5139100000000001E-2</c:v>
                </c:pt>
                <c:pt idx="80">
                  <c:v>-2.8341000000000002E-2</c:v>
                </c:pt>
                <c:pt idx="81">
                  <c:v>-9.5892400000000006E-3</c:v>
                </c:pt>
                <c:pt idx="82">
                  <c:v>1.1228800000000001E-2</c:v>
                </c:pt>
                <c:pt idx="83">
                  <c:v>3.3099999999999997E-2</c:v>
                </c:pt>
                <c:pt idx="84">
                  <c:v>5.5683700000000003E-2</c:v>
                </c:pt>
                <c:pt idx="85">
                  <c:v>7.8141100000000005E-2</c:v>
                </c:pt>
                <c:pt idx="86">
                  <c:v>0.10080799999999999</c:v>
                </c:pt>
                <c:pt idx="87">
                  <c:v>0.121618</c:v>
                </c:pt>
                <c:pt idx="88">
                  <c:v>0.13317699999999999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7B-4DFD-A631-C095463611B4}"/>
            </c:ext>
          </c:extLst>
        </c:ser>
        <c:ser>
          <c:idx val="1"/>
          <c:order val="1"/>
          <c:tx>
            <c:v>exp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95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test0.2!$J$93:$J$126</c:f>
              <c:numCache>
                <c:formatCode>0.00E+00</c:formatCode>
                <c:ptCount val="34"/>
                <c:pt idx="1">
                  <c:v>0.81596999999999997</c:v>
                </c:pt>
                <c:pt idx="2">
                  <c:v>0.66593000000000002</c:v>
                </c:pt>
                <c:pt idx="3">
                  <c:v>0.56588000000000005</c:v>
                </c:pt>
                <c:pt idx="4">
                  <c:v>0.46599000000000002</c:v>
                </c:pt>
                <c:pt idx="5">
                  <c:v>0.36580000000000001</c:v>
                </c:pt>
                <c:pt idx="6">
                  <c:v>0.26579000000000003</c:v>
                </c:pt>
                <c:pt idx="7">
                  <c:v>0.16594</c:v>
                </c:pt>
                <c:pt idx="8">
                  <c:v>4.9930000000000002E-2</c:v>
                </c:pt>
                <c:pt idx="9">
                  <c:v>2.002E-2</c:v>
                </c:pt>
                <c:pt idx="10">
                  <c:v>5.9300000000000004E-3</c:v>
                </c:pt>
                <c:pt idx="11">
                  <c:v>3.4000000000000002E-4</c:v>
                </c:pt>
                <c:pt idx="12">
                  <c:v>2.16E-3</c:v>
                </c:pt>
                <c:pt idx="13">
                  <c:v>8.6599999999999993E-3</c:v>
                </c:pt>
                <c:pt idx="14">
                  <c:v>2.0369999999999999E-2</c:v>
                </c:pt>
                <c:pt idx="15">
                  <c:v>3.5249999999999997E-2</c:v>
                </c:pt>
                <c:pt idx="16">
                  <c:v>6.0359999999999997E-2</c:v>
                </c:pt>
                <c:pt idx="17">
                  <c:v>9.9589999999999998E-2</c:v>
                </c:pt>
                <c:pt idx="18">
                  <c:v>0.15037</c:v>
                </c:pt>
                <c:pt idx="19">
                  <c:v>0.20044000000000001</c:v>
                </c:pt>
                <c:pt idx="20">
                  <c:v>0.25039</c:v>
                </c:pt>
                <c:pt idx="21">
                  <c:v>0.30049999999999999</c:v>
                </c:pt>
                <c:pt idx="22">
                  <c:v>0.35049999999999998</c:v>
                </c:pt>
                <c:pt idx="23">
                  <c:v>0.40046999999999999</c:v>
                </c:pt>
                <c:pt idx="24">
                  <c:v>0.45029999999999998</c:v>
                </c:pt>
                <c:pt idx="25">
                  <c:v>0.50039</c:v>
                </c:pt>
                <c:pt idx="26">
                  <c:v>0.55025000000000002</c:v>
                </c:pt>
                <c:pt idx="27">
                  <c:v>0.60028999999999999</c:v>
                </c:pt>
                <c:pt idx="28">
                  <c:v>0.65032000000000001</c:v>
                </c:pt>
                <c:pt idx="29">
                  <c:v>0.71026</c:v>
                </c:pt>
                <c:pt idx="30">
                  <c:v>0.78025999999999995</c:v>
                </c:pt>
                <c:pt idx="31">
                  <c:v>0.85021000000000002</c:v>
                </c:pt>
                <c:pt idx="32">
                  <c:v>0.92027000000000003</c:v>
                </c:pt>
                <c:pt idx="33">
                  <c:v>0.98517999999999994</c:v>
                </c:pt>
              </c:numCache>
            </c:numRef>
          </c:xVal>
          <c:yVal>
            <c:numRef>
              <c:f>test0.2!$L$93:$L$126</c:f>
              <c:numCache>
                <c:formatCode>0.00E+00</c:formatCode>
                <c:ptCount val="34"/>
                <c:pt idx="1">
                  <c:v>-4.9867000000000002E-2</c:v>
                </c:pt>
                <c:pt idx="2">
                  <c:v>-9.9191000000000001E-2</c:v>
                </c:pt>
                <c:pt idx="3">
                  <c:v>-0.12903000000000001</c:v>
                </c:pt>
                <c:pt idx="4">
                  <c:v>-0.13780999999999999</c:v>
                </c:pt>
                <c:pt idx="5">
                  <c:v>-8.4223000000000006E-2</c:v>
                </c:pt>
                <c:pt idx="6">
                  <c:v>-2.1641000000000001E-2</c:v>
                </c:pt>
                <c:pt idx="7">
                  <c:v>6.5523999999999999E-2</c:v>
                </c:pt>
                <c:pt idx="8">
                  <c:v>0.20569000000000001</c:v>
                </c:pt>
                <c:pt idx="9">
                  <c:v>0.29588999999999999</c:v>
                </c:pt>
                <c:pt idx="10">
                  <c:v>0.73319000000000001</c:v>
                </c:pt>
                <c:pt idx="11">
                  <c:v>0.70206000000000002</c:v>
                </c:pt>
                <c:pt idx="12">
                  <c:v>0.21920999999999999</c:v>
                </c:pt>
                <c:pt idx="13">
                  <c:v>-0.42756</c:v>
                </c:pt>
                <c:pt idx="14">
                  <c:v>-0.97109000000000001</c:v>
                </c:pt>
                <c:pt idx="15">
                  <c:v>-1.2921</c:v>
                </c:pt>
                <c:pt idx="16">
                  <c:v>-1.2741</c:v>
                </c:pt>
                <c:pt idx="17">
                  <c:v>-1.0923</c:v>
                </c:pt>
                <c:pt idx="18">
                  <c:v>-0.70628000000000002</c:v>
                </c:pt>
                <c:pt idx="19">
                  <c:v>-0.73121000000000003</c:v>
                </c:pt>
                <c:pt idx="20">
                  <c:v>-0.62736999999999998</c:v>
                </c:pt>
                <c:pt idx="21">
                  <c:v>-0.61856</c:v>
                </c:pt>
                <c:pt idx="22">
                  <c:v>-0.61378999999999995</c:v>
                </c:pt>
                <c:pt idx="23">
                  <c:v>-0.61978999999999995</c:v>
                </c:pt>
                <c:pt idx="24">
                  <c:v>-0.64905000000000002</c:v>
                </c:pt>
                <c:pt idx="25">
                  <c:v>-0.64442999999999995</c:v>
                </c:pt>
                <c:pt idx="26">
                  <c:v>-0.66476000000000002</c:v>
                </c:pt>
                <c:pt idx="27">
                  <c:v>-0.52666000000000002</c:v>
                </c:pt>
                <c:pt idx="28">
                  <c:v>-0.30232999999999999</c:v>
                </c:pt>
                <c:pt idx="29">
                  <c:v>-0.22316</c:v>
                </c:pt>
                <c:pt idx="30">
                  <c:v>-0.14416000000000001</c:v>
                </c:pt>
                <c:pt idx="31">
                  <c:v>-5.1028999999999998E-2</c:v>
                </c:pt>
                <c:pt idx="32">
                  <c:v>5.8973999999999999E-2</c:v>
                </c:pt>
                <c:pt idx="33">
                  <c:v>0.16897999999999999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C7B-4DFD-A631-C095463611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2416799"/>
        <c:axId val="1352405759"/>
      </c:scatterChart>
      <c:valAx>
        <c:axId val="1352416799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52405759"/>
        <c:crosses val="autoZero"/>
        <c:crossBetween val="midCat"/>
      </c:valAx>
      <c:valAx>
        <c:axId val="1352405759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524167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858333333333324"/>
          <c:y val="0.17671223388743074"/>
          <c:w val="0.11975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11904</xdr:colOff>
      <xdr:row>0</xdr:row>
      <xdr:rowOff>214311</xdr:rowOff>
    </xdr:from>
    <xdr:to>
      <xdr:col>16</xdr:col>
      <xdr:colOff>469104</xdr:colOff>
      <xdr:row>13</xdr:row>
      <xdr:rowOff>171448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BE0D5818-166E-86FD-47BD-1F81665173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E5179-F87B-411A-BE30-02C173779D48}">
  <dimension ref="A1:U126"/>
  <sheetViews>
    <sheetView tabSelected="1" workbookViewId="0">
      <selection activeCell="O21" sqref="O21"/>
    </sheetView>
  </sheetViews>
  <sheetFormatPr defaultRowHeight="16.899999999999999" x14ac:dyDescent="0.6"/>
  <sheetData>
    <row r="1" spans="1:21" x14ac:dyDescent="0.6">
      <c r="B1" t="s">
        <v>0</v>
      </c>
      <c r="C1" t="s">
        <v>1</v>
      </c>
    </row>
    <row r="2" spans="1:21" x14ac:dyDescent="0.6">
      <c r="A2">
        <v>2</v>
      </c>
      <c r="B2">
        <v>0.86263900000000004</v>
      </c>
      <c r="C2">
        <v>0.102275</v>
      </c>
      <c r="E2">
        <f>MAX(B2:B90)</f>
        <v>0.87290199999999996</v>
      </c>
      <c r="F2">
        <f>E2-E3</f>
        <v>0.73532699999999995</v>
      </c>
      <c r="H2">
        <f>(B2-$E$3)/$F$2</f>
        <v>0.9860429441595373</v>
      </c>
      <c r="I2">
        <f>C2</f>
        <v>0.102275</v>
      </c>
      <c r="T2" s="1"/>
      <c r="U2" s="1"/>
    </row>
    <row r="3" spans="1:21" x14ac:dyDescent="0.6">
      <c r="A3">
        <v>2</v>
      </c>
      <c r="B3">
        <v>0.85211300000000001</v>
      </c>
      <c r="C3">
        <v>9.0379299999999996E-2</v>
      </c>
      <c r="E3">
        <f>MIN(B2:B90)</f>
        <v>0.137575</v>
      </c>
      <c r="H3">
        <f t="shared" ref="H3:H67" si="0">(B3-$E$3)/$F$2</f>
        <v>0.97172822431380879</v>
      </c>
      <c r="I3">
        <f t="shared" ref="I3:I67" si="1">C3</f>
        <v>9.0379299999999996E-2</v>
      </c>
      <c r="T3" s="1"/>
      <c r="U3" s="1"/>
    </row>
    <row r="4" spans="1:21" x14ac:dyDescent="0.6">
      <c r="A4">
        <v>2</v>
      </c>
      <c r="B4">
        <v>0.84109500000000004</v>
      </c>
      <c r="C4">
        <v>7.9886399999999996E-2</v>
      </c>
      <c r="H4">
        <f t="shared" si="0"/>
        <v>0.95674441438978863</v>
      </c>
      <c r="I4">
        <f t="shared" si="1"/>
        <v>7.9886399999999996E-2</v>
      </c>
      <c r="T4" s="1"/>
      <c r="U4" s="1"/>
    </row>
    <row r="5" spans="1:21" x14ac:dyDescent="0.6">
      <c r="A5">
        <v>2</v>
      </c>
      <c r="B5">
        <v>0.82939499999999999</v>
      </c>
      <c r="C5">
        <v>6.7414199999999994E-2</v>
      </c>
      <c r="H5">
        <f t="shared" si="0"/>
        <v>0.94083312594260793</v>
      </c>
      <c r="I5">
        <f t="shared" si="1"/>
        <v>6.7414199999999994E-2</v>
      </c>
      <c r="T5" s="1"/>
      <c r="U5" s="1"/>
    </row>
    <row r="6" spans="1:21" x14ac:dyDescent="0.6">
      <c r="A6">
        <v>2</v>
      </c>
      <c r="B6">
        <v>0.81685600000000003</v>
      </c>
      <c r="C6">
        <v>5.2965900000000003E-2</v>
      </c>
      <c r="H6">
        <f t="shared" si="0"/>
        <v>0.92378084852045428</v>
      </c>
      <c r="I6">
        <f t="shared" si="1"/>
        <v>5.2965900000000003E-2</v>
      </c>
      <c r="T6" s="1"/>
      <c r="U6" s="1"/>
    </row>
    <row r="7" spans="1:21" x14ac:dyDescent="0.6">
      <c r="A7">
        <v>2</v>
      </c>
      <c r="B7">
        <v>0.80335400000000001</v>
      </c>
      <c r="C7">
        <v>3.6476399999999999E-2</v>
      </c>
      <c r="H7">
        <f t="shared" si="0"/>
        <v>0.90541894966457104</v>
      </c>
      <c r="I7">
        <f t="shared" si="1"/>
        <v>3.6476399999999999E-2</v>
      </c>
      <c r="T7" s="1"/>
      <c r="U7" s="1"/>
    </row>
    <row r="8" spans="1:21" x14ac:dyDescent="0.6">
      <c r="A8">
        <v>2</v>
      </c>
      <c r="B8">
        <v>0.78879500000000002</v>
      </c>
      <c r="C8">
        <v>1.72176E-2</v>
      </c>
      <c r="H8">
        <f t="shared" si="0"/>
        <v>0.88561959509170762</v>
      </c>
      <c r="I8">
        <f t="shared" si="1"/>
        <v>1.72176E-2</v>
      </c>
      <c r="T8" s="1"/>
      <c r="U8" s="1"/>
    </row>
    <row r="9" spans="1:21" x14ac:dyDescent="0.6">
      <c r="A9">
        <v>2</v>
      </c>
      <c r="B9">
        <v>0.773115</v>
      </c>
      <c r="C9">
        <v>-4.7238699999999998E-3</v>
      </c>
      <c r="H9">
        <f t="shared" si="0"/>
        <v>0.8642957486941184</v>
      </c>
      <c r="I9">
        <f t="shared" si="1"/>
        <v>-4.7238699999999998E-3</v>
      </c>
      <c r="T9" s="1"/>
      <c r="U9" s="1"/>
    </row>
    <row r="10" spans="1:21" x14ac:dyDescent="0.6">
      <c r="A10">
        <v>2</v>
      </c>
      <c r="B10">
        <v>0.75628099999999998</v>
      </c>
      <c r="C10">
        <v>-2.9998299999999999E-2</v>
      </c>
      <c r="H10">
        <f t="shared" si="0"/>
        <v>0.84140253247874752</v>
      </c>
      <c r="I10">
        <f t="shared" si="1"/>
        <v>-2.9998299999999999E-2</v>
      </c>
      <c r="T10" s="1"/>
      <c r="U10" s="1"/>
    </row>
    <row r="11" spans="1:21" x14ac:dyDescent="0.6">
      <c r="A11">
        <v>2</v>
      </c>
      <c r="B11">
        <v>0.73828400000000005</v>
      </c>
      <c r="C11">
        <v>-5.8698300000000002E-2</v>
      </c>
      <c r="H11">
        <f t="shared" si="0"/>
        <v>0.81692770699294337</v>
      </c>
      <c r="I11">
        <f t="shared" si="1"/>
        <v>-5.8698300000000002E-2</v>
      </c>
      <c r="T11" s="1"/>
      <c r="U11" s="1"/>
    </row>
    <row r="12" spans="1:21" x14ac:dyDescent="0.6">
      <c r="A12">
        <v>2</v>
      </c>
      <c r="B12">
        <v>0.71914</v>
      </c>
      <c r="C12">
        <v>-9.1172900000000001E-2</v>
      </c>
      <c r="H12">
        <f t="shared" si="0"/>
        <v>0.79089303126364197</v>
      </c>
      <c r="I12">
        <f t="shared" si="1"/>
        <v>-9.1172900000000001E-2</v>
      </c>
      <c r="T12" s="1"/>
      <c r="U12" s="1"/>
    </row>
    <row r="13" spans="1:21" x14ac:dyDescent="0.6">
      <c r="A13">
        <v>2</v>
      </c>
      <c r="B13">
        <v>0.69888600000000001</v>
      </c>
      <c r="C13">
        <v>-0.127692</v>
      </c>
      <c r="H13">
        <f t="shared" si="0"/>
        <v>0.76334882304063367</v>
      </c>
      <c r="I13">
        <f t="shared" si="1"/>
        <v>-0.127692</v>
      </c>
      <c r="T13" s="1"/>
      <c r="U13" s="1"/>
    </row>
    <row r="14" spans="1:21" x14ac:dyDescent="0.6">
      <c r="A14">
        <v>2</v>
      </c>
      <c r="B14">
        <v>0.67758300000000005</v>
      </c>
      <c r="C14">
        <v>-0.17258100000000001</v>
      </c>
      <c r="H14">
        <f t="shared" si="0"/>
        <v>0.73437803861411333</v>
      </c>
      <c r="I14">
        <f t="shared" si="1"/>
        <v>-0.17258100000000001</v>
      </c>
      <c r="T14" s="1"/>
      <c r="U14" s="1"/>
    </row>
    <row r="15" spans="1:21" x14ac:dyDescent="0.6">
      <c r="A15">
        <v>2</v>
      </c>
      <c r="B15">
        <v>0.65530500000000003</v>
      </c>
      <c r="C15">
        <v>-0.23652799999999999</v>
      </c>
      <c r="H15">
        <f t="shared" si="0"/>
        <v>0.7040813134836611</v>
      </c>
      <c r="I15">
        <f t="shared" si="1"/>
        <v>-0.23652799999999999</v>
      </c>
      <c r="T15" s="1"/>
      <c r="U15" s="1"/>
    </row>
    <row r="16" spans="1:21" x14ac:dyDescent="0.6">
      <c r="A16">
        <v>2</v>
      </c>
      <c r="B16">
        <v>0.63214499999999996</v>
      </c>
      <c r="C16">
        <v>-0.33435500000000001</v>
      </c>
      <c r="H16">
        <f t="shared" si="0"/>
        <v>0.67258512199334441</v>
      </c>
      <c r="I16">
        <f t="shared" si="1"/>
        <v>-0.33435500000000001</v>
      </c>
      <c r="T16" s="1"/>
      <c r="U16" s="1"/>
    </row>
    <row r="17" spans="1:21" x14ac:dyDescent="0.6">
      <c r="A17">
        <v>2</v>
      </c>
      <c r="B17">
        <v>0.60820799999999997</v>
      </c>
      <c r="C17">
        <v>-0.48400500000000002</v>
      </c>
      <c r="H17">
        <f t="shared" si="0"/>
        <v>0.64003225775743311</v>
      </c>
      <c r="I17">
        <f t="shared" si="1"/>
        <v>-0.48400500000000002</v>
      </c>
      <c r="T17" s="1"/>
      <c r="U17" s="1"/>
    </row>
    <row r="18" spans="1:21" x14ac:dyDescent="0.6">
      <c r="A18">
        <v>2</v>
      </c>
      <c r="B18">
        <v>0.58361399999999997</v>
      </c>
      <c r="C18">
        <v>-0.65665099999999998</v>
      </c>
      <c r="H18">
        <f t="shared" si="0"/>
        <v>0.60658591347794921</v>
      </c>
      <c r="I18">
        <f t="shared" si="1"/>
        <v>-0.65665099999999998</v>
      </c>
      <c r="T18" s="1"/>
      <c r="U18" s="1"/>
    </row>
    <row r="19" spans="1:21" x14ac:dyDescent="0.6">
      <c r="A19">
        <v>2</v>
      </c>
      <c r="B19">
        <v>0.55848799999999998</v>
      </c>
      <c r="C19">
        <v>-0.77360600000000002</v>
      </c>
      <c r="H19">
        <f t="shared" si="0"/>
        <v>0.57241608155283297</v>
      </c>
      <c r="I19">
        <f t="shared" si="1"/>
        <v>-0.77360600000000002</v>
      </c>
      <c r="T19" s="1"/>
      <c r="U19" s="1"/>
    </row>
    <row r="20" spans="1:21" x14ac:dyDescent="0.6">
      <c r="A20">
        <v>2</v>
      </c>
      <c r="B20">
        <v>0.53297000000000005</v>
      </c>
      <c r="C20">
        <v>-0.81310300000000002</v>
      </c>
      <c r="H20">
        <f t="shared" si="0"/>
        <v>0.53771315346777704</v>
      </c>
      <c r="I20">
        <f t="shared" si="1"/>
        <v>-0.81310300000000002</v>
      </c>
      <c r="T20" s="1"/>
      <c r="U20" s="1"/>
    </row>
    <row r="21" spans="1:21" x14ac:dyDescent="0.6">
      <c r="A21">
        <v>2</v>
      </c>
      <c r="B21">
        <v>0.50720399999999999</v>
      </c>
      <c r="C21">
        <v>-0.80704100000000001</v>
      </c>
      <c r="H21">
        <f t="shared" si="0"/>
        <v>0.50267296046520804</v>
      </c>
      <c r="I21">
        <f t="shared" si="1"/>
        <v>-0.80704100000000001</v>
      </c>
      <c r="T21" s="1"/>
      <c r="U21" s="1"/>
    </row>
    <row r="22" spans="1:21" x14ac:dyDescent="0.6">
      <c r="A22">
        <v>2</v>
      </c>
      <c r="B22">
        <v>0.48134199999999999</v>
      </c>
      <c r="C22">
        <v>-0.787802</v>
      </c>
      <c r="H22">
        <f t="shared" si="0"/>
        <v>0.46750221330102121</v>
      </c>
      <c r="I22">
        <f t="shared" si="1"/>
        <v>-0.787802</v>
      </c>
      <c r="T22" s="1"/>
      <c r="U22" s="1"/>
    </row>
    <row r="23" spans="1:21" x14ac:dyDescent="0.6">
      <c r="A23">
        <v>2</v>
      </c>
      <c r="B23">
        <v>0.455542</v>
      </c>
      <c r="C23">
        <v>-0.76621099999999998</v>
      </c>
      <c r="H23">
        <f t="shared" si="0"/>
        <v>0.43241578236621259</v>
      </c>
      <c r="I23">
        <f t="shared" si="1"/>
        <v>-0.76621099999999998</v>
      </c>
      <c r="T23" s="1"/>
      <c r="U23" s="1"/>
    </row>
    <row r="24" spans="1:21" x14ac:dyDescent="0.6">
      <c r="A24">
        <v>2</v>
      </c>
      <c r="B24">
        <v>0.42996200000000001</v>
      </c>
      <c r="C24">
        <v>-0.74359799999999998</v>
      </c>
      <c r="H24">
        <f t="shared" si="0"/>
        <v>0.39762853805177834</v>
      </c>
      <c r="I24">
        <f t="shared" si="1"/>
        <v>-0.74359799999999998</v>
      </c>
      <c r="S24" s="1"/>
      <c r="T24" s="1"/>
    </row>
    <row r="25" spans="1:21" x14ac:dyDescent="0.6">
      <c r="A25">
        <v>2</v>
      </c>
      <c r="B25">
        <v>0.40475899999999998</v>
      </c>
      <c r="C25">
        <v>-0.72120700000000004</v>
      </c>
      <c r="H25">
        <f t="shared" si="0"/>
        <v>0.36335399080953101</v>
      </c>
      <c r="I25">
        <f t="shared" si="1"/>
        <v>-0.72120700000000004</v>
      </c>
      <c r="T25" s="1"/>
      <c r="U25" s="1"/>
    </row>
    <row r="26" spans="1:21" x14ac:dyDescent="0.6">
      <c r="A26">
        <v>2</v>
      </c>
      <c r="B26">
        <v>0.38008700000000001</v>
      </c>
      <c r="C26">
        <v>-0.70013800000000004</v>
      </c>
      <c r="H26">
        <f t="shared" si="0"/>
        <v>0.32980157127373266</v>
      </c>
      <c r="I26">
        <f t="shared" si="1"/>
        <v>-0.70013800000000004</v>
      </c>
      <c r="T26" s="1"/>
      <c r="U26" s="1"/>
    </row>
    <row r="27" spans="1:21" x14ac:dyDescent="0.6">
      <c r="A27">
        <v>2</v>
      </c>
      <c r="B27">
        <v>0.35609600000000002</v>
      </c>
      <c r="C27">
        <v>-0.68232400000000004</v>
      </c>
      <c r="H27">
        <f t="shared" si="0"/>
        <v>0.29717527032191127</v>
      </c>
      <c r="I27">
        <f t="shared" si="1"/>
        <v>-0.68232400000000004</v>
      </c>
      <c r="T27" s="1"/>
      <c r="U27" s="1"/>
    </row>
    <row r="28" spans="1:21" x14ac:dyDescent="0.6">
      <c r="A28">
        <v>2</v>
      </c>
      <c r="B28">
        <v>0.332926</v>
      </c>
      <c r="C28">
        <v>-0.66916299999999995</v>
      </c>
      <c r="H28">
        <f t="shared" si="0"/>
        <v>0.26566547943975949</v>
      </c>
      <c r="I28">
        <f t="shared" si="1"/>
        <v>-0.66916299999999995</v>
      </c>
      <c r="T28" s="1"/>
      <c r="U28" s="1"/>
    </row>
    <row r="29" spans="1:21" x14ac:dyDescent="0.6">
      <c r="A29">
        <v>2</v>
      </c>
      <c r="B29">
        <v>0.31071100000000001</v>
      </c>
      <c r="C29">
        <v>-0.66183400000000003</v>
      </c>
      <c r="H29">
        <f t="shared" si="0"/>
        <v>0.23545443047786907</v>
      </c>
      <c r="I29">
        <f t="shared" si="1"/>
        <v>-0.66183400000000003</v>
      </c>
      <c r="T29" s="1"/>
      <c r="U29" s="1"/>
    </row>
    <row r="30" spans="1:21" x14ac:dyDescent="0.6">
      <c r="A30">
        <v>2</v>
      </c>
      <c r="B30">
        <v>0.28956999999999999</v>
      </c>
      <c r="C30">
        <v>-0.66394699999999995</v>
      </c>
      <c r="H30">
        <f t="shared" si="0"/>
        <v>0.20670395619907878</v>
      </c>
      <c r="I30">
        <f t="shared" si="1"/>
        <v>-0.66394699999999995</v>
      </c>
      <c r="T30" s="1"/>
      <c r="U30" s="1"/>
    </row>
    <row r="31" spans="1:21" x14ac:dyDescent="0.6">
      <c r="A31">
        <v>2</v>
      </c>
      <c r="B31">
        <v>0.26961499999999999</v>
      </c>
      <c r="C31">
        <v>-0.68135900000000005</v>
      </c>
      <c r="H31">
        <f t="shared" si="0"/>
        <v>0.1795663697919429</v>
      </c>
      <c r="I31">
        <f t="shared" si="1"/>
        <v>-0.68135900000000005</v>
      </c>
      <c r="T31" s="1"/>
      <c r="U31" s="1"/>
    </row>
    <row r="32" spans="1:21" x14ac:dyDescent="0.6">
      <c r="A32">
        <v>2</v>
      </c>
      <c r="B32">
        <v>0.25093900000000002</v>
      </c>
      <c r="C32">
        <v>-0.72189599999999998</v>
      </c>
      <c r="H32">
        <f t="shared" si="0"/>
        <v>0.15416814560052877</v>
      </c>
      <c r="I32">
        <f t="shared" si="1"/>
        <v>-0.72189599999999998</v>
      </c>
      <c r="T32" s="1"/>
      <c r="U32" s="1"/>
    </row>
    <row r="33" spans="1:21" x14ac:dyDescent="0.6">
      <c r="A33">
        <v>2</v>
      </c>
      <c r="B33">
        <v>0.233622</v>
      </c>
      <c r="C33">
        <v>-0.79255699999999996</v>
      </c>
      <c r="H33">
        <f t="shared" si="0"/>
        <v>0.13061807875951786</v>
      </c>
      <c r="I33">
        <f t="shared" si="1"/>
        <v>-0.79255699999999996</v>
      </c>
      <c r="T33" s="1"/>
      <c r="U33" s="1"/>
    </row>
    <row r="34" spans="1:21" x14ac:dyDescent="0.6">
      <c r="A34">
        <v>2</v>
      </c>
      <c r="B34">
        <v>0.217725</v>
      </c>
      <c r="C34">
        <v>-0.87668699999999999</v>
      </c>
      <c r="H34">
        <f t="shared" si="0"/>
        <v>0.108999125559105</v>
      </c>
      <c r="I34">
        <f t="shared" si="1"/>
        <v>-0.87668699999999999</v>
      </c>
      <c r="T34" s="1"/>
    </row>
    <row r="35" spans="1:21" x14ac:dyDescent="0.6">
      <c r="A35">
        <v>2</v>
      </c>
      <c r="B35">
        <v>0.203289</v>
      </c>
      <c r="C35">
        <v>-0.961229</v>
      </c>
      <c r="H35">
        <f t="shared" si="0"/>
        <v>8.9367043505814425E-2</v>
      </c>
      <c r="I35">
        <f t="shared" si="1"/>
        <v>-0.961229</v>
      </c>
      <c r="T35" s="1"/>
    </row>
    <row r="36" spans="1:21" x14ac:dyDescent="0.6">
      <c r="A36">
        <v>2</v>
      </c>
      <c r="B36">
        <v>0.190329</v>
      </c>
      <c r="C36">
        <v>-1.0531600000000001</v>
      </c>
      <c r="H36">
        <f t="shared" si="0"/>
        <v>7.1742231687398933E-2</v>
      </c>
      <c r="I36">
        <f t="shared" si="1"/>
        <v>-1.0531600000000001</v>
      </c>
      <c r="T36" s="1"/>
    </row>
    <row r="37" spans="1:21" x14ac:dyDescent="0.6">
      <c r="A37">
        <v>2</v>
      </c>
      <c r="B37">
        <v>0.178839</v>
      </c>
      <c r="C37">
        <v>-1.1437900000000001</v>
      </c>
      <c r="H37">
        <f t="shared" si="0"/>
        <v>5.6116530468757433E-2</v>
      </c>
      <c r="I37">
        <f t="shared" si="1"/>
        <v>-1.1437900000000001</v>
      </c>
      <c r="T37" s="1"/>
    </row>
    <row r="38" spans="1:21" x14ac:dyDescent="0.6">
      <c r="A38">
        <v>2</v>
      </c>
      <c r="B38">
        <v>0.16878299999999999</v>
      </c>
      <c r="C38">
        <v>-1.1982900000000001</v>
      </c>
      <c r="H38">
        <f t="shared" si="0"/>
        <v>4.244098203928319E-2</v>
      </c>
      <c r="I38">
        <f t="shared" si="1"/>
        <v>-1.1982900000000001</v>
      </c>
      <c r="T38" s="1"/>
    </row>
    <row r="39" spans="1:21" x14ac:dyDescent="0.6">
      <c r="A39">
        <v>2</v>
      </c>
      <c r="B39">
        <v>0.160135</v>
      </c>
      <c r="C39">
        <v>-1.16472</v>
      </c>
      <c r="H39">
        <f t="shared" si="0"/>
        <v>3.0680227980204724E-2</v>
      </c>
      <c r="I39">
        <f t="shared" si="1"/>
        <v>-1.16472</v>
      </c>
      <c r="T39" s="1"/>
    </row>
    <row r="40" spans="1:21" x14ac:dyDescent="0.6">
      <c r="A40">
        <v>2</v>
      </c>
      <c r="B40">
        <v>0.15292500000000001</v>
      </c>
      <c r="C40">
        <v>-1.0038100000000001</v>
      </c>
      <c r="H40">
        <f t="shared" si="0"/>
        <v>2.0875066467027598E-2</v>
      </c>
      <c r="I40">
        <f t="shared" si="1"/>
        <v>-1.0038100000000001</v>
      </c>
      <c r="T40" s="1"/>
    </row>
    <row r="41" spans="1:21" x14ac:dyDescent="0.6">
      <c r="A41">
        <v>2</v>
      </c>
      <c r="B41">
        <v>0.14719699999999999</v>
      </c>
      <c r="C41">
        <v>-0.71963100000000002</v>
      </c>
      <c r="H41">
        <f t="shared" si="0"/>
        <v>1.3085334823826667E-2</v>
      </c>
      <c r="I41">
        <f t="shared" si="1"/>
        <v>-0.71963100000000002</v>
      </c>
      <c r="T41" s="1"/>
    </row>
    <row r="42" spans="1:21" x14ac:dyDescent="0.6">
      <c r="A42">
        <v>2</v>
      </c>
      <c r="B42">
        <v>0.14291699999999999</v>
      </c>
      <c r="C42">
        <v>-0.360794</v>
      </c>
      <c r="H42">
        <f t="shared" si="0"/>
        <v>7.264795118362288E-3</v>
      </c>
      <c r="I42">
        <f t="shared" si="1"/>
        <v>-0.360794</v>
      </c>
    </row>
    <row r="43" spans="1:21" x14ac:dyDescent="0.6">
      <c r="A43">
        <v>2</v>
      </c>
      <c r="B43">
        <v>0.13994899999999999</v>
      </c>
      <c r="C43">
        <v>2.2147300000000002E-2</v>
      </c>
      <c r="H43">
        <f t="shared" si="0"/>
        <v>3.2284956216757817E-3</v>
      </c>
      <c r="I43">
        <f t="shared" si="1"/>
        <v>2.2147300000000002E-2</v>
      </c>
    </row>
    <row r="44" spans="1:21" x14ac:dyDescent="0.6">
      <c r="A44">
        <v>2</v>
      </c>
      <c r="B44">
        <v>0.13817499999999999</v>
      </c>
      <c r="C44">
        <v>0.40220699999999998</v>
      </c>
      <c r="H44">
        <f t="shared" si="0"/>
        <v>8.1596351011181353E-4</v>
      </c>
      <c r="I44">
        <f t="shared" si="1"/>
        <v>0.40220699999999998</v>
      </c>
    </row>
    <row r="45" spans="1:21" x14ac:dyDescent="0.6">
      <c r="A45">
        <v>2</v>
      </c>
      <c r="B45">
        <v>0.137575</v>
      </c>
      <c r="C45">
        <v>0.71657199999999999</v>
      </c>
      <c r="H45">
        <f t="shared" si="0"/>
        <v>0</v>
      </c>
      <c r="I45">
        <f t="shared" si="1"/>
        <v>0.71657199999999999</v>
      </c>
    </row>
    <row r="47" spans="1:21" x14ac:dyDescent="0.6">
      <c r="A47">
        <v>1</v>
      </c>
      <c r="B47">
        <v>0.13817499999999999</v>
      </c>
      <c r="C47">
        <v>0.86929100000000004</v>
      </c>
      <c r="H47">
        <f t="shared" si="0"/>
        <v>8.1596351011181353E-4</v>
      </c>
      <c r="I47">
        <f t="shared" si="1"/>
        <v>0.86929100000000004</v>
      </c>
    </row>
    <row r="48" spans="1:21" x14ac:dyDescent="0.6">
      <c r="A48">
        <v>1</v>
      </c>
      <c r="B48">
        <v>0.13994899999999999</v>
      </c>
      <c r="C48">
        <v>0.85227299999999995</v>
      </c>
      <c r="H48">
        <f t="shared" si="0"/>
        <v>3.2284956216757817E-3</v>
      </c>
      <c r="I48">
        <f t="shared" si="1"/>
        <v>0.85227299999999995</v>
      </c>
    </row>
    <row r="49" spans="1:21" x14ac:dyDescent="0.6">
      <c r="A49">
        <v>1</v>
      </c>
      <c r="B49">
        <v>0.14291699999999999</v>
      </c>
      <c r="C49">
        <v>0.717947</v>
      </c>
      <c r="H49">
        <f t="shared" si="0"/>
        <v>7.264795118362288E-3</v>
      </c>
      <c r="I49">
        <f t="shared" si="1"/>
        <v>0.717947</v>
      </c>
    </row>
    <row r="50" spans="1:21" x14ac:dyDescent="0.6">
      <c r="A50">
        <v>1</v>
      </c>
      <c r="B50">
        <v>0.14719699999999999</v>
      </c>
      <c r="C50">
        <v>0.52597899999999997</v>
      </c>
      <c r="H50">
        <f t="shared" si="0"/>
        <v>1.3085334823826667E-2</v>
      </c>
      <c r="I50">
        <f t="shared" si="1"/>
        <v>0.52597899999999997</v>
      </c>
    </row>
    <row r="51" spans="1:21" x14ac:dyDescent="0.6">
      <c r="A51">
        <v>1</v>
      </c>
      <c r="B51">
        <v>0.15292500000000001</v>
      </c>
      <c r="C51">
        <v>0.351939</v>
      </c>
      <c r="H51">
        <f t="shared" si="0"/>
        <v>2.0875066467027598E-2</v>
      </c>
      <c r="I51">
        <f t="shared" si="1"/>
        <v>0.351939</v>
      </c>
    </row>
    <row r="52" spans="1:21" x14ac:dyDescent="0.6">
      <c r="A52">
        <v>1</v>
      </c>
      <c r="B52">
        <v>0.160135</v>
      </c>
      <c r="C52">
        <v>0.25823800000000002</v>
      </c>
      <c r="H52">
        <f t="shared" si="0"/>
        <v>3.0680227980204724E-2</v>
      </c>
      <c r="I52">
        <f t="shared" si="1"/>
        <v>0.25823800000000002</v>
      </c>
      <c r="U52" s="1"/>
    </row>
    <row r="53" spans="1:21" x14ac:dyDescent="0.6">
      <c r="A53">
        <v>1</v>
      </c>
      <c r="B53">
        <v>0.16878299999999999</v>
      </c>
      <c r="C53">
        <v>0.23990800000000001</v>
      </c>
      <c r="H53">
        <f t="shared" si="0"/>
        <v>4.244098203928319E-2</v>
      </c>
      <c r="I53">
        <f t="shared" si="1"/>
        <v>0.23990800000000001</v>
      </c>
      <c r="U53" s="1"/>
    </row>
    <row r="54" spans="1:21" x14ac:dyDescent="0.6">
      <c r="A54">
        <v>1</v>
      </c>
      <c r="B54">
        <v>0.178839</v>
      </c>
      <c r="C54">
        <v>0.23277600000000001</v>
      </c>
      <c r="H54">
        <f t="shared" si="0"/>
        <v>5.6116530468757433E-2</v>
      </c>
      <c r="I54">
        <f t="shared" si="1"/>
        <v>0.23277600000000001</v>
      </c>
      <c r="S54" s="1"/>
      <c r="U54" s="1"/>
    </row>
    <row r="55" spans="1:21" x14ac:dyDescent="0.6">
      <c r="A55">
        <v>1</v>
      </c>
      <c r="B55">
        <v>0.190329</v>
      </c>
      <c r="C55">
        <v>0.206454</v>
      </c>
      <c r="H55">
        <f t="shared" si="0"/>
        <v>7.1742231687398933E-2</v>
      </c>
      <c r="I55">
        <f t="shared" si="1"/>
        <v>0.206454</v>
      </c>
      <c r="S55" s="1"/>
      <c r="U55" s="1"/>
    </row>
    <row r="56" spans="1:21" x14ac:dyDescent="0.6">
      <c r="A56">
        <v>1</v>
      </c>
      <c r="B56">
        <v>0.203289</v>
      </c>
      <c r="C56">
        <v>0.17424600000000001</v>
      </c>
      <c r="H56">
        <f t="shared" si="0"/>
        <v>8.9367043505814425E-2</v>
      </c>
      <c r="I56">
        <f t="shared" si="1"/>
        <v>0.17424600000000001</v>
      </c>
      <c r="S56" s="1"/>
      <c r="U56" s="1"/>
    </row>
    <row r="57" spans="1:21" x14ac:dyDescent="0.6">
      <c r="A57">
        <v>1</v>
      </c>
      <c r="B57">
        <v>0.217725</v>
      </c>
      <c r="C57">
        <v>0.143902</v>
      </c>
      <c r="H57">
        <f t="shared" si="0"/>
        <v>0.108999125559105</v>
      </c>
      <c r="I57">
        <f t="shared" si="1"/>
        <v>0.143902</v>
      </c>
      <c r="S57" s="1"/>
      <c r="U57" s="1"/>
    </row>
    <row r="58" spans="1:21" x14ac:dyDescent="0.6">
      <c r="A58">
        <v>1</v>
      </c>
      <c r="B58">
        <v>0.233622</v>
      </c>
      <c r="C58">
        <v>0.115317</v>
      </c>
      <c r="H58">
        <f t="shared" si="0"/>
        <v>0.13061807875951786</v>
      </c>
      <c r="I58">
        <f t="shared" si="1"/>
        <v>0.115317</v>
      </c>
      <c r="S58" s="1"/>
      <c r="U58" s="1"/>
    </row>
    <row r="59" spans="1:21" x14ac:dyDescent="0.6">
      <c r="A59">
        <v>1</v>
      </c>
      <c r="B59">
        <v>0.25093900000000002</v>
      </c>
      <c r="C59">
        <v>8.8567099999999996E-2</v>
      </c>
      <c r="H59">
        <f t="shared" si="0"/>
        <v>0.15416814560052877</v>
      </c>
      <c r="I59">
        <f t="shared" si="1"/>
        <v>8.8567099999999996E-2</v>
      </c>
      <c r="S59" s="1"/>
      <c r="U59" s="1"/>
    </row>
    <row r="60" spans="1:21" x14ac:dyDescent="0.6">
      <c r="A60">
        <v>1</v>
      </c>
      <c r="B60">
        <v>0.26961499999999999</v>
      </c>
      <c r="C60">
        <v>6.3100400000000001E-2</v>
      </c>
      <c r="H60">
        <f t="shared" si="0"/>
        <v>0.1795663697919429</v>
      </c>
      <c r="I60">
        <f t="shared" si="1"/>
        <v>6.3100400000000001E-2</v>
      </c>
      <c r="S60" s="1"/>
      <c r="U60" s="1"/>
    </row>
    <row r="61" spans="1:21" x14ac:dyDescent="0.6">
      <c r="A61">
        <v>1</v>
      </c>
      <c r="B61">
        <v>0.28956999999999999</v>
      </c>
      <c r="C61">
        <v>3.8047699999999997E-2</v>
      </c>
      <c r="H61">
        <f t="shared" si="0"/>
        <v>0.20670395619907878</v>
      </c>
      <c r="I61">
        <f t="shared" si="1"/>
        <v>3.8047699999999997E-2</v>
      </c>
      <c r="S61" s="1"/>
      <c r="U61" s="1"/>
    </row>
    <row r="62" spans="1:21" x14ac:dyDescent="0.6">
      <c r="A62">
        <v>1</v>
      </c>
      <c r="B62">
        <v>0.31071100000000001</v>
      </c>
      <c r="C62">
        <v>1.26455E-2</v>
      </c>
      <c r="H62">
        <f t="shared" si="0"/>
        <v>0.23545443047786907</v>
      </c>
      <c r="I62">
        <f t="shared" si="1"/>
        <v>1.26455E-2</v>
      </c>
      <c r="S62" s="1"/>
      <c r="U62" s="1"/>
    </row>
    <row r="63" spans="1:21" x14ac:dyDescent="0.6">
      <c r="A63">
        <v>1</v>
      </c>
      <c r="B63">
        <v>0.332926</v>
      </c>
      <c r="C63">
        <v>-1.36189E-2</v>
      </c>
      <c r="H63">
        <f t="shared" si="0"/>
        <v>0.26566547943975949</v>
      </c>
      <c r="I63">
        <f t="shared" si="1"/>
        <v>-1.36189E-2</v>
      </c>
      <c r="S63" s="1"/>
      <c r="U63" s="1"/>
    </row>
    <row r="64" spans="1:21" x14ac:dyDescent="0.6">
      <c r="A64">
        <v>1</v>
      </c>
      <c r="B64">
        <v>0.35609600000000002</v>
      </c>
      <c r="C64">
        <v>-4.0762899999999998E-2</v>
      </c>
      <c r="H64">
        <f t="shared" si="0"/>
        <v>0.29717527032191127</v>
      </c>
      <c r="I64">
        <f t="shared" si="1"/>
        <v>-4.0762899999999998E-2</v>
      </c>
      <c r="S64" s="1"/>
      <c r="U64" s="1"/>
    </row>
    <row r="65" spans="1:21" x14ac:dyDescent="0.6">
      <c r="A65">
        <v>1</v>
      </c>
      <c r="B65">
        <v>0.38008700000000001</v>
      </c>
      <c r="C65">
        <v>-6.8268099999999998E-2</v>
      </c>
      <c r="H65">
        <f t="shared" si="0"/>
        <v>0.32980157127373266</v>
      </c>
      <c r="I65">
        <f t="shared" si="1"/>
        <v>-6.8268099999999998E-2</v>
      </c>
      <c r="S65" s="1"/>
      <c r="U65" s="1"/>
    </row>
    <row r="66" spans="1:21" x14ac:dyDescent="0.6">
      <c r="A66">
        <v>1</v>
      </c>
      <c r="B66">
        <v>0.40475899999999998</v>
      </c>
      <c r="C66">
        <v>-9.5007999999999995E-2</v>
      </c>
      <c r="H66">
        <f t="shared" si="0"/>
        <v>0.36335399080953101</v>
      </c>
      <c r="I66">
        <f t="shared" si="1"/>
        <v>-9.5007999999999995E-2</v>
      </c>
      <c r="S66" s="1"/>
      <c r="U66" s="1"/>
    </row>
    <row r="67" spans="1:21" x14ac:dyDescent="0.6">
      <c r="A67">
        <v>1</v>
      </c>
      <c r="B67">
        <v>0.42996200000000001</v>
      </c>
      <c r="C67">
        <v>-0.119419</v>
      </c>
      <c r="H67">
        <f t="shared" si="0"/>
        <v>0.39762853805177834</v>
      </c>
      <c r="I67">
        <f t="shared" si="1"/>
        <v>-0.119419</v>
      </c>
      <c r="S67" s="1"/>
      <c r="U67" s="1"/>
    </row>
    <row r="68" spans="1:21" x14ac:dyDescent="0.6">
      <c r="A68">
        <v>1</v>
      </c>
      <c r="B68">
        <v>0.455542</v>
      </c>
      <c r="C68">
        <v>-0.13970199999999999</v>
      </c>
      <c r="H68">
        <f t="shared" ref="H68:H90" si="2">(B68-$E$3)/$F$2</f>
        <v>0.43241578236621259</v>
      </c>
      <c r="I68">
        <f t="shared" ref="I68:I90" si="3">C68</f>
        <v>-0.13970199999999999</v>
      </c>
      <c r="T68" s="1"/>
    </row>
    <row r="69" spans="1:21" x14ac:dyDescent="0.6">
      <c r="A69">
        <v>1</v>
      </c>
      <c r="B69">
        <v>0.48134199999999999</v>
      </c>
      <c r="C69">
        <v>-0.15423300000000001</v>
      </c>
      <c r="H69">
        <f t="shared" si="2"/>
        <v>0.46750221330102121</v>
      </c>
      <c r="I69">
        <f t="shared" si="3"/>
        <v>-0.15423300000000001</v>
      </c>
      <c r="T69" s="1"/>
    </row>
    <row r="70" spans="1:21" x14ac:dyDescent="0.6">
      <c r="A70">
        <v>1</v>
      </c>
      <c r="B70">
        <v>0.50720399999999999</v>
      </c>
      <c r="C70">
        <v>-0.161909</v>
      </c>
      <c r="H70">
        <f t="shared" si="2"/>
        <v>0.50267296046520804</v>
      </c>
      <c r="I70">
        <f t="shared" si="3"/>
        <v>-0.161909</v>
      </c>
      <c r="T70" s="1"/>
      <c r="U70" s="1"/>
    </row>
    <row r="71" spans="1:21" x14ac:dyDescent="0.6">
      <c r="A71">
        <v>1</v>
      </c>
      <c r="B71">
        <v>0.53297000000000005</v>
      </c>
      <c r="C71">
        <v>-0.16262199999999999</v>
      </c>
      <c r="H71">
        <f t="shared" si="2"/>
        <v>0.53771315346777704</v>
      </c>
      <c r="I71">
        <f t="shared" si="3"/>
        <v>-0.16262199999999999</v>
      </c>
    </row>
    <row r="72" spans="1:21" x14ac:dyDescent="0.6">
      <c r="A72">
        <v>1</v>
      </c>
      <c r="B72">
        <v>0.55848799999999998</v>
      </c>
      <c r="C72">
        <v>-0.157198</v>
      </c>
      <c r="H72">
        <f t="shared" si="2"/>
        <v>0.57241608155283297</v>
      </c>
      <c r="I72">
        <f t="shared" si="3"/>
        <v>-0.157198</v>
      </c>
    </row>
    <row r="73" spans="1:21" x14ac:dyDescent="0.6">
      <c r="A73">
        <v>1</v>
      </c>
      <c r="B73">
        <v>0.58361399999999997</v>
      </c>
      <c r="C73">
        <v>-0.147338</v>
      </c>
      <c r="H73">
        <f t="shared" si="2"/>
        <v>0.60658591347794921</v>
      </c>
      <c r="I73">
        <f t="shared" si="3"/>
        <v>-0.147338</v>
      </c>
    </row>
    <row r="74" spans="1:21" x14ac:dyDescent="0.6">
      <c r="A74">
        <v>1</v>
      </c>
      <c r="B74">
        <v>0.60820799999999997</v>
      </c>
      <c r="C74">
        <v>-0.13492499999999999</v>
      </c>
      <c r="H74">
        <f t="shared" si="2"/>
        <v>0.64003225775743311</v>
      </c>
      <c r="I74">
        <f t="shared" si="3"/>
        <v>-0.13492499999999999</v>
      </c>
    </row>
    <row r="75" spans="1:21" x14ac:dyDescent="0.6">
      <c r="A75">
        <v>1</v>
      </c>
      <c r="B75">
        <v>0.63214499999999996</v>
      </c>
      <c r="C75">
        <v>-0.12170300000000001</v>
      </c>
      <c r="H75">
        <f t="shared" si="2"/>
        <v>0.67258512199334441</v>
      </c>
      <c r="I75">
        <f t="shared" si="3"/>
        <v>-0.12170300000000001</v>
      </c>
    </row>
    <row r="76" spans="1:21" x14ac:dyDescent="0.6">
      <c r="A76">
        <v>1</v>
      </c>
      <c r="B76">
        <v>0.65530500000000003</v>
      </c>
      <c r="C76">
        <v>-0.10867300000000001</v>
      </c>
      <c r="H76">
        <f t="shared" si="2"/>
        <v>0.7040813134836611</v>
      </c>
      <c r="I76">
        <f t="shared" si="3"/>
        <v>-0.10867300000000001</v>
      </c>
      <c r="T76" s="1"/>
    </row>
    <row r="77" spans="1:21" x14ac:dyDescent="0.6">
      <c r="A77">
        <v>1</v>
      </c>
      <c r="B77">
        <v>0.67758300000000005</v>
      </c>
      <c r="C77">
        <v>-9.6385200000000004E-2</v>
      </c>
      <c r="H77">
        <f t="shared" si="2"/>
        <v>0.73437803861411333</v>
      </c>
      <c r="I77">
        <f t="shared" si="3"/>
        <v>-9.6385200000000004E-2</v>
      </c>
      <c r="T77" s="1"/>
      <c r="U77" s="1"/>
    </row>
    <row r="78" spans="1:21" x14ac:dyDescent="0.6">
      <c r="A78">
        <v>1</v>
      </c>
      <c r="B78">
        <v>0.69888600000000001</v>
      </c>
      <c r="C78">
        <v>-8.4507100000000002E-2</v>
      </c>
      <c r="H78">
        <f t="shared" si="2"/>
        <v>0.76334882304063367</v>
      </c>
      <c r="I78">
        <f t="shared" si="3"/>
        <v>-8.4507100000000002E-2</v>
      </c>
      <c r="T78" s="1"/>
      <c r="U78" s="1"/>
    </row>
    <row r="79" spans="1:21" x14ac:dyDescent="0.6">
      <c r="A79">
        <v>1</v>
      </c>
      <c r="B79">
        <v>0.71914</v>
      </c>
      <c r="C79">
        <v>-7.2599499999999997E-2</v>
      </c>
      <c r="H79">
        <f t="shared" si="2"/>
        <v>0.79089303126364197</v>
      </c>
      <c r="I79">
        <f t="shared" si="3"/>
        <v>-7.2599499999999997E-2</v>
      </c>
      <c r="T79" s="1"/>
      <c r="U79" s="1"/>
    </row>
    <row r="80" spans="1:21" x14ac:dyDescent="0.6">
      <c r="A80">
        <v>1</v>
      </c>
      <c r="B80">
        <v>0.73828400000000005</v>
      </c>
      <c r="C80">
        <v>-5.9626899999999997E-2</v>
      </c>
      <c r="H80">
        <f t="shared" si="2"/>
        <v>0.81692770699294337</v>
      </c>
      <c r="I80">
        <f t="shared" si="3"/>
        <v>-5.9626899999999997E-2</v>
      </c>
      <c r="T80" s="1"/>
      <c r="U80" s="1"/>
    </row>
    <row r="81" spans="1:21" x14ac:dyDescent="0.6">
      <c r="A81">
        <v>1</v>
      </c>
      <c r="B81">
        <v>0.75628099999999998</v>
      </c>
      <c r="C81">
        <v>-4.5139100000000001E-2</v>
      </c>
      <c r="H81">
        <f t="shared" si="2"/>
        <v>0.84140253247874752</v>
      </c>
      <c r="I81">
        <f t="shared" si="3"/>
        <v>-4.5139100000000001E-2</v>
      </c>
      <c r="T81" s="1"/>
      <c r="U81" s="1"/>
    </row>
    <row r="82" spans="1:21" x14ac:dyDescent="0.6">
      <c r="A82">
        <v>1</v>
      </c>
      <c r="B82">
        <v>0.773115</v>
      </c>
      <c r="C82">
        <v>-2.8341000000000002E-2</v>
      </c>
      <c r="H82">
        <f t="shared" si="2"/>
        <v>0.8642957486941184</v>
      </c>
      <c r="I82">
        <f t="shared" si="3"/>
        <v>-2.8341000000000002E-2</v>
      </c>
      <c r="T82" s="1"/>
      <c r="U82" s="1"/>
    </row>
    <row r="83" spans="1:21" x14ac:dyDescent="0.6">
      <c r="A83">
        <v>1</v>
      </c>
      <c r="B83">
        <v>0.78879500000000002</v>
      </c>
      <c r="C83">
        <v>-9.5892400000000006E-3</v>
      </c>
      <c r="H83">
        <f t="shared" si="2"/>
        <v>0.88561959509170762</v>
      </c>
      <c r="I83">
        <f t="shared" si="3"/>
        <v>-9.5892400000000006E-3</v>
      </c>
      <c r="T83" s="1"/>
      <c r="U83" s="1"/>
    </row>
    <row r="84" spans="1:21" x14ac:dyDescent="0.6">
      <c r="A84">
        <v>1</v>
      </c>
      <c r="B84">
        <v>0.80335400000000001</v>
      </c>
      <c r="C84">
        <v>1.1228800000000001E-2</v>
      </c>
      <c r="H84">
        <f t="shared" si="2"/>
        <v>0.90541894966457104</v>
      </c>
      <c r="I84">
        <f t="shared" si="3"/>
        <v>1.1228800000000001E-2</v>
      </c>
      <c r="T84" s="1"/>
      <c r="U84" s="1"/>
    </row>
    <row r="85" spans="1:21" x14ac:dyDescent="0.6">
      <c r="A85">
        <v>1</v>
      </c>
      <c r="B85">
        <v>0.81685600000000003</v>
      </c>
      <c r="C85">
        <v>3.3099999999999997E-2</v>
      </c>
      <c r="H85">
        <f t="shared" si="2"/>
        <v>0.92378084852045428</v>
      </c>
      <c r="I85">
        <f t="shared" si="3"/>
        <v>3.3099999999999997E-2</v>
      </c>
      <c r="T85" s="1"/>
      <c r="U85" s="1"/>
    </row>
    <row r="86" spans="1:21" x14ac:dyDescent="0.6">
      <c r="A86">
        <v>1</v>
      </c>
      <c r="B86">
        <v>0.82939499999999999</v>
      </c>
      <c r="C86">
        <v>5.5683700000000003E-2</v>
      </c>
      <c r="H86">
        <f t="shared" si="2"/>
        <v>0.94083312594260793</v>
      </c>
      <c r="I86">
        <f t="shared" si="3"/>
        <v>5.5683700000000003E-2</v>
      </c>
      <c r="T86" s="1"/>
      <c r="U86" s="1"/>
    </row>
    <row r="87" spans="1:21" x14ac:dyDescent="0.6">
      <c r="A87">
        <v>1</v>
      </c>
      <c r="B87">
        <v>0.84109500000000004</v>
      </c>
      <c r="C87">
        <v>7.8141100000000005E-2</v>
      </c>
      <c r="H87">
        <f t="shared" si="2"/>
        <v>0.95674441438978863</v>
      </c>
      <c r="I87">
        <f t="shared" si="3"/>
        <v>7.8141100000000005E-2</v>
      </c>
      <c r="T87" s="1"/>
      <c r="U87" s="1"/>
    </row>
    <row r="88" spans="1:21" x14ac:dyDescent="0.6">
      <c r="A88">
        <v>1</v>
      </c>
      <c r="B88">
        <v>0.85211300000000001</v>
      </c>
      <c r="C88">
        <v>0.10080799999999999</v>
      </c>
      <c r="H88">
        <f t="shared" si="2"/>
        <v>0.97172822431380879</v>
      </c>
      <c r="I88">
        <f t="shared" si="3"/>
        <v>0.10080799999999999</v>
      </c>
      <c r="T88" s="1"/>
      <c r="U88" s="1"/>
    </row>
    <row r="89" spans="1:21" x14ac:dyDescent="0.6">
      <c r="A89">
        <v>1</v>
      </c>
      <c r="B89">
        <v>0.86263900000000004</v>
      </c>
      <c r="C89">
        <v>0.121618</v>
      </c>
      <c r="H89">
        <f t="shared" si="2"/>
        <v>0.9860429441595373</v>
      </c>
      <c r="I89">
        <f t="shared" si="3"/>
        <v>0.121618</v>
      </c>
      <c r="T89" s="1"/>
      <c r="U89" s="1"/>
    </row>
    <row r="90" spans="1:21" x14ac:dyDescent="0.6">
      <c r="A90">
        <v>1</v>
      </c>
      <c r="B90">
        <v>0.87290199999999996</v>
      </c>
      <c r="C90">
        <v>0.13317699999999999</v>
      </c>
      <c r="H90">
        <f t="shared" si="2"/>
        <v>1</v>
      </c>
      <c r="I90">
        <f t="shared" si="3"/>
        <v>0.13317699999999999</v>
      </c>
      <c r="T90" s="1"/>
      <c r="U90" s="1"/>
    </row>
    <row r="92" spans="1:21" x14ac:dyDescent="0.6">
      <c r="J92" t="s">
        <v>2</v>
      </c>
      <c r="L92" t="s">
        <v>3</v>
      </c>
    </row>
    <row r="93" spans="1:21" x14ac:dyDescent="0.6">
      <c r="H93" s="1">
        <v>1</v>
      </c>
      <c r="I93" s="1">
        <v>12</v>
      </c>
      <c r="J93" s="1"/>
      <c r="K93" s="1">
        <v>7.26E-3</v>
      </c>
      <c r="L93" s="1"/>
    </row>
    <row r="94" spans="1:21" x14ac:dyDescent="0.6">
      <c r="H94" s="1">
        <v>1</v>
      </c>
      <c r="I94" s="1">
        <v>11</v>
      </c>
      <c r="J94" s="1">
        <v>0.81596999999999997</v>
      </c>
      <c r="K94" s="1">
        <v>-2.1930000000000002E-2</v>
      </c>
      <c r="L94" s="1">
        <v>-4.9867000000000002E-2</v>
      </c>
    </row>
    <row r="95" spans="1:21" x14ac:dyDescent="0.6">
      <c r="H95" s="1">
        <v>1</v>
      </c>
      <c r="I95" s="1">
        <v>10</v>
      </c>
      <c r="J95" s="1">
        <v>0.66593000000000002</v>
      </c>
      <c r="K95" s="1">
        <v>-3.5869999999999999E-2</v>
      </c>
      <c r="L95" s="1">
        <v>-9.9191000000000001E-2</v>
      </c>
    </row>
    <row r="96" spans="1:21" x14ac:dyDescent="0.6">
      <c r="H96" s="1">
        <v>1</v>
      </c>
      <c r="I96" s="1">
        <v>9</v>
      </c>
      <c r="J96" s="1">
        <v>0.56588000000000005</v>
      </c>
      <c r="K96" s="1">
        <v>-4.301E-2</v>
      </c>
      <c r="L96" s="1">
        <v>-0.12903000000000001</v>
      </c>
    </row>
    <row r="97" spans="8:12" x14ac:dyDescent="0.6">
      <c r="H97" s="1">
        <v>1</v>
      </c>
      <c r="I97" s="1">
        <v>8</v>
      </c>
      <c r="J97" s="1">
        <v>0.46599000000000002</v>
      </c>
      <c r="K97" s="1">
        <v>-4.7730000000000002E-2</v>
      </c>
      <c r="L97" s="1">
        <v>-0.13780999999999999</v>
      </c>
    </row>
    <row r="98" spans="8:12" x14ac:dyDescent="0.6">
      <c r="H98" s="1">
        <v>1</v>
      </c>
      <c r="I98" s="1">
        <v>7</v>
      </c>
      <c r="J98" s="1">
        <v>0.36580000000000001</v>
      </c>
      <c r="K98" s="1">
        <v>-4.8890000000000003E-2</v>
      </c>
      <c r="L98" s="1">
        <v>-8.4223000000000006E-2</v>
      </c>
    </row>
    <row r="99" spans="8:12" x14ac:dyDescent="0.6">
      <c r="H99" s="1">
        <v>1</v>
      </c>
      <c r="I99" s="1">
        <v>6</v>
      </c>
      <c r="J99" s="1">
        <v>0.26579000000000003</v>
      </c>
      <c r="K99" s="1">
        <v>-4.7019999999999999E-2</v>
      </c>
      <c r="L99" s="1">
        <v>-2.1641000000000001E-2</v>
      </c>
    </row>
    <row r="100" spans="8:12" x14ac:dyDescent="0.6">
      <c r="H100" s="1">
        <v>1</v>
      </c>
      <c r="I100" s="1">
        <v>5</v>
      </c>
      <c r="J100" s="1">
        <v>0.16594</v>
      </c>
      <c r="K100" s="1">
        <v>-4.1939999999999998E-2</v>
      </c>
      <c r="L100" s="1">
        <v>6.5523999999999999E-2</v>
      </c>
    </row>
    <row r="101" spans="8:12" x14ac:dyDescent="0.6">
      <c r="H101" s="1">
        <v>1</v>
      </c>
      <c r="I101" s="1">
        <v>4</v>
      </c>
      <c r="J101" s="1">
        <v>4.9930000000000002E-2</v>
      </c>
      <c r="K101" s="1">
        <v>-2.971E-2</v>
      </c>
      <c r="L101" s="1">
        <v>0.20569000000000001</v>
      </c>
    </row>
    <row r="102" spans="8:12" x14ac:dyDescent="0.6">
      <c r="H102" s="1">
        <v>1</v>
      </c>
      <c r="I102" s="1">
        <v>3</v>
      </c>
      <c r="J102" s="1">
        <v>2.002E-2</v>
      </c>
      <c r="K102" s="1">
        <v>-2.2679999999999999E-2</v>
      </c>
      <c r="L102" s="1">
        <v>0.29588999999999999</v>
      </c>
    </row>
    <row r="103" spans="8:12" x14ac:dyDescent="0.6">
      <c r="H103" s="1">
        <v>1</v>
      </c>
      <c r="I103" s="1">
        <v>2</v>
      </c>
      <c r="J103" s="1">
        <v>5.9300000000000004E-3</v>
      </c>
      <c r="K103" s="1">
        <v>-1.333E-2</v>
      </c>
      <c r="L103" s="1">
        <v>0.73319000000000001</v>
      </c>
    </row>
    <row r="104" spans="8:12" x14ac:dyDescent="0.6">
      <c r="H104" s="1">
        <v>1</v>
      </c>
      <c r="I104" s="1">
        <v>1</v>
      </c>
      <c r="J104" s="1">
        <v>3.4000000000000002E-4</v>
      </c>
      <c r="K104" s="1">
        <v>2.9199999999999999E-3</v>
      </c>
      <c r="L104" s="1">
        <v>0.70206000000000002</v>
      </c>
    </row>
    <row r="105" spans="8:12" x14ac:dyDescent="0.6">
      <c r="H105" s="1">
        <v>1</v>
      </c>
      <c r="I105" s="1">
        <v>34</v>
      </c>
      <c r="J105" s="1">
        <v>2.16E-3</v>
      </c>
      <c r="K105" s="1">
        <v>8.0199999999999994E-3</v>
      </c>
      <c r="L105" s="1">
        <v>0.21920999999999999</v>
      </c>
    </row>
    <row r="106" spans="8:12" x14ac:dyDescent="0.6">
      <c r="H106" s="1">
        <v>1</v>
      </c>
      <c r="I106" s="1">
        <v>33</v>
      </c>
      <c r="J106" s="1">
        <v>8.6599999999999993E-3</v>
      </c>
      <c r="K106" s="1">
        <v>1.592E-2</v>
      </c>
      <c r="L106" s="1">
        <v>-0.42756</v>
      </c>
    </row>
    <row r="107" spans="8:12" x14ac:dyDescent="0.6">
      <c r="H107" s="1">
        <v>1</v>
      </c>
      <c r="I107" s="1">
        <v>32</v>
      </c>
      <c r="J107" s="1">
        <v>2.0369999999999999E-2</v>
      </c>
      <c r="K107" s="1">
        <v>2.2849999999999999E-2</v>
      </c>
      <c r="L107" s="1">
        <v>-0.97109000000000001</v>
      </c>
    </row>
    <row r="108" spans="8:12" x14ac:dyDescent="0.6">
      <c r="H108" s="1">
        <v>1</v>
      </c>
      <c r="I108" s="1">
        <v>31</v>
      </c>
      <c r="J108" s="1">
        <v>3.5249999999999997E-2</v>
      </c>
      <c r="K108" s="1">
        <v>2.7009999999999999E-2</v>
      </c>
      <c r="L108" s="1">
        <v>-1.2921</v>
      </c>
    </row>
    <row r="109" spans="8:12" x14ac:dyDescent="0.6">
      <c r="H109" s="1">
        <v>1</v>
      </c>
      <c r="I109" s="1">
        <v>30</v>
      </c>
      <c r="J109" s="1">
        <v>6.0359999999999997E-2</v>
      </c>
      <c r="K109" s="1">
        <v>3.1300000000000001E-2</v>
      </c>
      <c r="L109" s="1">
        <v>-1.2741</v>
      </c>
    </row>
    <row r="110" spans="8:12" x14ac:dyDescent="0.6">
      <c r="H110" s="1">
        <v>1</v>
      </c>
      <c r="I110" s="1">
        <v>29</v>
      </c>
      <c r="J110" s="1">
        <v>9.9589999999999998E-2</v>
      </c>
      <c r="K110" s="1">
        <v>3.6170000000000001E-2</v>
      </c>
      <c r="L110" s="1">
        <v>-1.0923</v>
      </c>
    </row>
    <row r="111" spans="8:12" x14ac:dyDescent="0.6">
      <c r="H111" s="1">
        <v>1</v>
      </c>
      <c r="I111" s="1">
        <v>28</v>
      </c>
      <c r="J111" s="1">
        <v>0.15037</v>
      </c>
      <c r="K111" s="1">
        <v>4.0800000000000003E-2</v>
      </c>
      <c r="L111" s="1">
        <v>-0.70628000000000002</v>
      </c>
    </row>
    <row r="112" spans="8:12" x14ac:dyDescent="0.6">
      <c r="H112" s="1">
        <v>1</v>
      </c>
      <c r="I112" s="1">
        <v>27</v>
      </c>
      <c r="J112" s="1">
        <v>0.20044000000000001</v>
      </c>
      <c r="K112" s="1">
        <v>4.4130000000000003E-2</v>
      </c>
      <c r="L112" s="1">
        <v>-0.73121000000000003</v>
      </c>
    </row>
    <row r="113" spans="8:12" x14ac:dyDescent="0.6">
      <c r="H113" s="1">
        <v>1</v>
      </c>
      <c r="I113" s="1">
        <v>26</v>
      </c>
      <c r="J113" s="1">
        <v>0.25039</v>
      </c>
      <c r="K113" s="1">
        <v>4.6469999999999997E-2</v>
      </c>
      <c r="L113" s="1">
        <v>-0.62736999999999998</v>
      </c>
    </row>
    <row r="114" spans="8:12" x14ac:dyDescent="0.6">
      <c r="H114" s="1">
        <v>1</v>
      </c>
      <c r="I114" s="1">
        <v>25</v>
      </c>
      <c r="J114" s="1">
        <v>0.30049999999999999</v>
      </c>
      <c r="K114" s="1">
        <v>4.8000000000000001E-2</v>
      </c>
      <c r="L114" s="1">
        <v>-0.61856</v>
      </c>
    </row>
    <row r="115" spans="8:12" x14ac:dyDescent="0.6">
      <c r="H115" s="1">
        <v>1</v>
      </c>
      <c r="I115" s="1">
        <v>24</v>
      </c>
      <c r="J115" s="1">
        <v>0.35049999999999998</v>
      </c>
      <c r="K115" s="1">
        <v>4.879E-2</v>
      </c>
      <c r="L115" s="1">
        <v>-0.61378999999999995</v>
      </c>
    </row>
    <row r="116" spans="8:12" x14ac:dyDescent="0.6">
      <c r="H116" s="1">
        <v>1</v>
      </c>
      <c r="I116" s="1">
        <v>23</v>
      </c>
      <c r="J116" s="1">
        <v>0.40046999999999999</v>
      </c>
      <c r="K116" s="1">
        <v>4.8860000000000001E-2</v>
      </c>
      <c r="L116" s="1">
        <v>-0.61978999999999995</v>
      </c>
    </row>
    <row r="117" spans="8:12" x14ac:dyDescent="0.6">
      <c r="H117" s="1">
        <v>1</v>
      </c>
      <c r="I117" s="1">
        <v>22</v>
      </c>
      <c r="J117" s="1">
        <v>0.45029999999999998</v>
      </c>
      <c r="K117" s="1">
        <v>4.8120000000000003E-2</v>
      </c>
      <c r="L117" s="1">
        <v>-0.64905000000000002</v>
      </c>
    </row>
    <row r="118" spans="8:12" x14ac:dyDescent="0.6">
      <c r="H118" s="1">
        <v>1</v>
      </c>
      <c r="I118" s="1">
        <v>21</v>
      </c>
      <c r="J118" s="1">
        <v>0.50039</v>
      </c>
      <c r="K118" s="1">
        <v>4.648E-2</v>
      </c>
      <c r="L118" s="1">
        <v>-0.64442999999999995</v>
      </c>
    </row>
    <row r="119" spans="8:12" x14ac:dyDescent="0.6">
      <c r="H119" s="1">
        <v>1</v>
      </c>
      <c r="I119" s="1">
        <v>20</v>
      </c>
      <c r="J119" s="1">
        <v>0.55025000000000002</v>
      </c>
      <c r="K119" s="1">
        <v>4.394E-2</v>
      </c>
      <c r="L119" s="1">
        <v>-0.66476000000000002</v>
      </c>
    </row>
    <row r="120" spans="8:12" x14ac:dyDescent="0.6">
      <c r="H120" s="1">
        <v>1</v>
      </c>
      <c r="I120" s="1">
        <v>19</v>
      </c>
      <c r="J120" s="1">
        <v>0.60028999999999999</v>
      </c>
      <c r="K120" s="1">
        <v>4.0750000000000001E-2</v>
      </c>
      <c r="L120" s="1">
        <v>-0.52666000000000002</v>
      </c>
    </row>
    <row r="121" spans="8:12" x14ac:dyDescent="0.6">
      <c r="H121" s="1">
        <v>1</v>
      </c>
      <c r="I121" s="1">
        <v>18</v>
      </c>
      <c r="J121" s="1">
        <v>0.65032000000000001</v>
      </c>
      <c r="K121" s="1">
        <v>3.7109999999999997E-2</v>
      </c>
      <c r="L121" s="1">
        <v>-0.30232999999999999</v>
      </c>
    </row>
    <row r="122" spans="8:12" x14ac:dyDescent="0.6">
      <c r="H122" s="1">
        <v>1</v>
      </c>
      <c r="I122" s="1">
        <v>17</v>
      </c>
      <c r="J122" s="1">
        <v>0.71026</v>
      </c>
      <c r="K122" s="1">
        <v>3.2190000000000003E-2</v>
      </c>
      <c r="L122" s="1">
        <v>-0.22316</v>
      </c>
    </row>
    <row r="123" spans="8:12" x14ac:dyDescent="0.6">
      <c r="H123" s="1">
        <v>1</v>
      </c>
      <c r="I123" s="1">
        <v>16</v>
      </c>
      <c r="J123" s="1">
        <v>0.78025999999999995</v>
      </c>
      <c r="K123" s="1">
        <v>2.5610000000000001E-2</v>
      </c>
      <c r="L123" s="1">
        <v>-0.14416000000000001</v>
      </c>
    </row>
    <row r="124" spans="8:12" x14ac:dyDescent="0.6">
      <c r="H124" s="1">
        <v>1</v>
      </c>
      <c r="I124" s="1">
        <v>15</v>
      </c>
      <c r="J124" s="1">
        <v>0.85021000000000002</v>
      </c>
      <c r="K124" s="1">
        <v>1.814E-2</v>
      </c>
      <c r="L124" s="1">
        <v>-5.1028999999999998E-2</v>
      </c>
    </row>
    <row r="125" spans="8:12" x14ac:dyDescent="0.6">
      <c r="H125" s="1">
        <v>1</v>
      </c>
      <c r="I125" s="1">
        <v>14</v>
      </c>
      <c r="J125" s="1">
        <v>0.92027000000000003</v>
      </c>
      <c r="K125" s="1">
        <v>1.021E-2</v>
      </c>
      <c r="L125" s="1">
        <v>5.8973999999999999E-2</v>
      </c>
    </row>
    <row r="126" spans="8:12" x14ac:dyDescent="0.6">
      <c r="H126" s="1">
        <v>1</v>
      </c>
      <c r="I126" s="1">
        <v>13</v>
      </c>
      <c r="J126" s="1">
        <v>0.98517999999999994</v>
      </c>
      <c r="K126" s="1">
        <v>2.65E-3</v>
      </c>
      <c r="L126" s="1">
        <v>0.16897999999999999</v>
      </c>
    </row>
  </sheetData>
  <sortState xmlns:xlrd2="http://schemas.microsoft.com/office/spreadsheetml/2017/richdata2" ref="A47:C90">
    <sortCondition ref="B47:B90"/>
  </sortState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test0.2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dlqudgk9@gmail.com</cp:lastModifiedBy>
  <dcterms:created xsi:type="dcterms:W3CDTF">2025-11-13T02:07:46Z</dcterms:created>
  <dcterms:modified xsi:type="dcterms:W3CDTF">2025-11-18T11:27:06Z</dcterms:modified>
</cp:coreProperties>
</file>