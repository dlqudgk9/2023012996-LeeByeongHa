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report#9\"/>
    </mc:Choice>
  </mc:AlternateContent>
  <xr:revisionPtr revIDLastSave="0" documentId="13_ncr:1_{A991513F-5D98-413A-A656-B2032A8F2BEE}" xr6:coauthVersionLast="47" xr6:coauthVersionMax="47" xr10:uidLastSave="{00000000-0000-0000-0000-000000000000}"/>
  <bookViews>
    <workbookView xWindow="-98" yWindow="-98" windowWidth="21795" windowHeight="12975" xr2:uid="{77D1E377-0753-479D-ACD9-0BDB7EEE2FE5}"/>
  </bookViews>
  <sheets>
    <sheet name="su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3" i="1" l="1"/>
  <c r="I64" i="1"/>
  <c r="F3" i="1"/>
  <c r="F2" i="1"/>
  <c r="D36" i="1"/>
  <c r="I36" i="1" s="1"/>
  <c r="D80" i="1"/>
  <c r="I80" i="1" s="1"/>
  <c r="D40" i="1"/>
  <c r="I40" i="1" s="1"/>
  <c r="D39" i="1"/>
  <c r="I39" i="1" s="1"/>
  <c r="D38" i="1"/>
  <c r="I38" i="1" s="1"/>
  <c r="D37" i="1"/>
  <c r="I37" i="1" s="1"/>
  <c r="D65" i="1"/>
  <c r="I65" i="1" s="1"/>
  <c r="D66" i="1"/>
  <c r="I66" i="1" s="1"/>
  <c r="D64" i="1"/>
  <c r="D63" i="1"/>
  <c r="D62" i="1"/>
  <c r="I62" i="1" s="1"/>
  <c r="D61" i="1"/>
  <c r="I61" i="1" s="1"/>
  <c r="D60" i="1"/>
  <c r="I60" i="1" s="1"/>
  <c r="D48" i="1"/>
  <c r="I48" i="1" s="1"/>
  <c r="D49" i="1"/>
  <c r="I49" i="1" s="1"/>
  <c r="D47" i="1"/>
  <c r="I47" i="1" s="1"/>
  <c r="D2" i="1"/>
  <c r="I2" i="1" s="1"/>
  <c r="D42" i="1"/>
  <c r="I42" i="1" s="1"/>
  <c r="D3" i="1"/>
  <c r="I3" i="1" s="1"/>
  <c r="D4" i="1"/>
  <c r="I4" i="1" s="1"/>
  <c r="D5" i="1"/>
  <c r="I5" i="1" s="1"/>
  <c r="D6" i="1"/>
  <c r="I6" i="1" s="1"/>
  <c r="D7" i="1"/>
  <c r="I7" i="1" s="1"/>
  <c r="D8" i="1"/>
  <c r="I8" i="1" s="1"/>
  <c r="D9" i="1"/>
  <c r="I9" i="1" s="1"/>
  <c r="D10" i="1"/>
  <c r="I10" i="1" s="1"/>
  <c r="D11" i="1"/>
  <c r="I11" i="1" s="1"/>
  <c r="D12" i="1"/>
  <c r="I12" i="1" s="1"/>
  <c r="D13" i="1"/>
  <c r="I13" i="1" s="1"/>
  <c r="D14" i="1"/>
  <c r="I14" i="1" s="1"/>
  <c r="D15" i="1"/>
  <c r="I15" i="1" s="1"/>
  <c r="D16" i="1"/>
  <c r="I16" i="1" s="1"/>
  <c r="D17" i="1"/>
  <c r="I17" i="1" s="1"/>
  <c r="D18" i="1"/>
  <c r="I18" i="1" s="1"/>
  <c r="D19" i="1"/>
  <c r="I19" i="1" s="1"/>
  <c r="D20" i="1"/>
  <c r="I20" i="1" s="1"/>
  <c r="D21" i="1"/>
  <c r="I21" i="1" s="1"/>
  <c r="D22" i="1"/>
  <c r="I22" i="1" s="1"/>
  <c r="D23" i="1"/>
  <c r="I23" i="1" s="1"/>
  <c r="D24" i="1"/>
  <c r="I24" i="1" s="1"/>
  <c r="D25" i="1"/>
  <c r="I25" i="1" s="1"/>
  <c r="D26" i="1"/>
  <c r="I26" i="1" s="1"/>
  <c r="D27" i="1"/>
  <c r="I27" i="1" s="1"/>
  <c r="D28" i="1"/>
  <c r="I28" i="1" s="1"/>
  <c r="D29" i="1"/>
  <c r="I29" i="1" s="1"/>
  <c r="D30" i="1"/>
  <c r="I30" i="1" s="1"/>
  <c r="D31" i="1"/>
  <c r="I31" i="1" s="1"/>
  <c r="D32" i="1"/>
  <c r="I32" i="1" s="1"/>
  <c r="D33" i="1"/>
  <c r="I33" i="1" s="1"/>
  <c r="D34" i="1"/>
  <c r="I34" i="1" s="1"/>
  <c r="D35" i="1"/>
  <c r="I35" i="1" s="1"/>
  <c r="D78" i="1"/>
  <c r="I78" i="1" s="1"/>
  <c r="D77" i="1"/>
  <c r="I77" i="1" s="1"/>
  <c r="D76" i="1"/>
  <c r="I76" i="1" s="1"/>
  <c r="D75" i="1"/>
  <c r="I75" i="1" s="1"/>
  <c r="D74" i="1"/>
  <c r="I74" i="1" s="1"/>
  <c r="D73" i="1"/>
  <c r="I73" i="1" s="1"/>
  <c r="D72" i="1"/>
  <c r="I72" i="1" s="1"/>
  <c r="D43" i="1"/>
  <c r="I43" i="1" s="1"/>
  <c r="D44" i="1"/>
  <c r="I44" i="1" s="1"/>
  <c r="D59" i="1"/>
  <c r="I59" i="1" s="1"/>
  <c r="D58" i="1"/>
  <c r="I58" i="1" s="1"/>
  <c r="D57" i="1"/>
  <c r="I57" i="1" s="1"/>
  <c r="D56" i="1"/>
  <c r="I56" i="1" s="1"/>
  <c r="D55" i="1"/>
  <c r="I55" i="1" s="1"/>
  <c r="D71" i="1"/>
  <c r="I71" i="1" s="1"/>
  <c r="D70" i="1"/>
  <c r="I70" i="1" s="1"/>
  <c r="D69" i="1"/>
  <c r="I69" i="1" s="1"/>
  <c r="D68" i="1"/>
  <c r="I68" i="1" s="1"/>
  <c r="D67" i="1"/>
  <c r="I67" i="1" s="1"/>
  <c r="D46" i="1"/>
  <c r="I46" i="1" s="1"/>
  <c r="D45" i="1"/>
  <c r="I45" i="1" s="1"/>
  <c r="D50" i="1"/>
  <c r="I50" i="1" s="1"/>
  <c r="D52" i="1"/>
  <c r="I52" i="1" s="1"/>
  <c r="D53" i="1"/>
  <c r="I53" i="1" s="1"/>
  <c r="D51" i="1"/>
  <c r="I51" i="1" s="1"/>
  <c r="D54" i="1"/>
  <c r="I54" i="1" s="1"/>
  <c r="D79" i="1"/>
  <c r="I79" i="1" s="1"/>
  <c r="G2" i="1" l="1"/>
  <c r="H67" i="1"/>
  <c r="H23" i="1"/>
  <c r="H69" i="1"/>
  <c r="H48" i="1"/>
  <c r="H27" i="1"/>
  <c r="H28" i="1"/>
  <c r="H73" i="1"/>
  <c r="H74" i="1"/>
  <c r="H75" i="1"/>
  <c r="H76" i="1"/>
  <c r="H10" i="1"/>
  <c r="H11" i="1"/>
  <c r="H57" i="1"/>
  <c r="H68" i="1"/>
  <c r="H24" i="1"/>
  <c r="H3" i="1"/>
  <c r="H26" i="1"/>
  <c r="H52" i="1"/>
  <c r="H53" i="1"/>
  <c r="H33" i="1"/>
  <c r="H34" i="1"/>
  <c r="H70" i="1"/>
  <c r="H51" i="1"/>
  <c r="H29" i="1"/>
  <c r="H8" i="1"/>
  <c r="H9" i="1"/>
  <c r="H77" i="1"/>
  <c r="H56" i="1"/>
  <c r="H49" i="1"/>
  <c r="H72" i="1"/>
  <c r="H46" i="1"/>
  <c r="H71" i="1"/>
  <c r="H50" i="1"/>
  <c r="H6" i="1"/>
  <c r="H7" i="1"/>
  <c r="H31" i="1"/>
  <c r="H55" i="1"/>
  <c r="H79" i="1"/>
  <c r="H47" i="1"/>
  <c r="H25" i="1"/>
  <c r="H4" i="1"/>
  <c r="H5" i="1"/>
  <c r="H30" i="1"/>
  <c r="H54" i="1"/>
  <c r="H32" i="1"/>
  <c r="H78" i="1"/>
  <c r="H12" i="1"/>
  <c r="H13" i="1"/>
  <c r="H64" i="1"/>
  <c r="H42" i="1"/>
  <c r="H19" i="1"/>
  <c r="H21" i="1"/>
  <c r="H20" i="1"/>
  <c r="H63" i="1"/>
  <c r="H40" i="1"/>
  <c r="H18" i="1"/>
  <c r="H62" i="1"/>
  <c r="H39" i="1"/>
  <c r="H17" i="1"/>
  <c r="H66" i="1"/>
  <c r="H61" i="1"/>
  <c r="H60" i="1"/>
  <c r="H37" i="1"/>
  <c r="H15" i="1"/>
  <c r="H38" i="1"/>
  <c r="H2" i="1"/>
  <c r="H59" i="1"/>
  <c r="H36" i="1"/>
  <c r="H14" i="1"/>
  <c r="H45" i="1"/>
  <c r="H22" i="1"/>
  <c r="H44" i="1"/>
  <c r="H65" i="1"/>
  <c r="H43" i="1"/>
  <c r="H16" i="1"/>
  <c r="H80" i="1"/>
  <c r="H58" i="1"/>
  <c r="H35" i="1"/>
</calcChain>
</file>

<file path=xl/sharedStrings.xml><?xml version="1.0" encoding="utf-8"?>
<sst xmlns="http://schemas.openxmlformats.org/spreadsheetml/2006/main" count="5" uniqueCount="4">
  <si>
    <t>Points_1</t>
  </si>
  <si>
    <t>Pressure</t>
  </si>
  <si>
    <t>Cp</t>
    <phoneticPr fontId="18" type="noConversion"/>
  </si>
  <si>
    <t>x/c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</si>
</sst>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0.96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227198162729659"/>
          <c:w val="0.8825717410323709"/>
          <c:h val="0.85185185185185186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'su2'!$H$2:$H$81</c:f>
              <c:numCache>
                <c:formatCode>General</c:formatCode>
                <c:ptCount val="80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'su2'!$I$2:$I$81</c:f>
              <c:numCache>
                <c:formatCode>General</c:formatCode>
                <c:ptCount val="80"/>
                <c:pt idx="0">
                  <c:v>1.0138899189917916</c:v>
                </c:pt>
                <c:pt idx="1">
                  <c:v>0.51237829577460159</c:v>
                </c:pt>
                <c:pt idx="2">
                  <c:v>0.2888772737154065</c:v>
                </c:pt>
                <c:pt idx="3">
                  <c:v>0.35791490873780879</c:v>
                </c:pt>
                <c:pt idx="4">
                  <c:v>0.12010120624713999</c:v>
                </c:pt>
                <c:pt idx="5">
                  <c:v>0.16738591656452556</c:v>
                </c:pt>
                <c:pt idx="6">
                  <c:v>0.12170673264300981</c:v>
                </c:pt>
                <c:pt idx="7">
                  <c:v>7.1543822567174689E-2</c:v>
                </c:pt>
                <c:pt idx="8">
                  <c:v>5.5116546394799328E-2</c:v>
                </c:pt>
                <c:pt idx="9">
                  <c:v>1.3040007068893909E-2</c:v>
                </c:pt>
                <c:pt idx="10">
                  <c:v>-2.4846499955595149E-2</c:v>
                </c:pt>
                <c:pt idx="11">
                  <c:v>-4.010879051145521E-2</c:v>
                </c:pt>
                <c:pt idx="12">
                  <c:v>-7.2154705781212899E-2</c:v>
                </c:pt>
                <c:pt idx="13">
                  <c:v>-9.3942873748578029E-2</c:v>
                </c:pt>
                <c:pt idx="14">
                  <c:v>-0.11297227745767401</c:v>
                </c:pt>
                <c:pt idx="15">
                  <c:v>-0.14203817909997582</c:v>
                </c:pt>
                <c:pt idx="16">
                  <c:v>-0.16642847460406185</c:v>
                </c:pt>
                <c:pt idx="17">
                  <c:v>-0.19299406257864907</c:v>
                </c:pt>
                <c:pt idx="18">
                  <c:v>-0.21806768578048935</c:v>
                </c:pt>
                <c:pt idx="19">
                  <c:v>-0.24618985117546285</c:v>
                </c:pt>
                <c:pt idx="20">
                  <c:v>-0.27087579849147109</c:v>
                </c:pt>
                <c:pt idx="21">
                  <c:v>-0.30336617045862196</c:v>
                </c:pt>
                <c:pt idx="22">
                  <c:v>-0.31539978659156831</c:v>
                </c:pt>
                <c:pt idx="23">
                  <c:v>-0.31791967984947611</c:v>
                </c:pt>
                <c:pt idx="24">
                  <c:v>-0.31804694718573406</c:v>
                </c:pt>
                <c:pt idx="25">
                  <c:v>-0.29531700093005986</c:v>
                </c:pt>
                <c:pt idx="26">
                  <c:v>-0.24757412820214567</c:v>
                </c:pt>
                <c:pt idx="27">
                  <c:v>-0.16191537906445216</c:v>
                </c:pt>
                <c:pt idx="28">
                  <c:v>-0.15840475854275138</c:v>
                </c:pt>
                <c:pt idx="29">
                  <c:v>-1.4351839611860713E-2</c:v>
                </c:pt>
                <c:pt idx="30">
                  <c:v>0.11172114164430727</c:v>
                </c:pt>
                <c:pt idx="31">
                  <c:v>0.29097228986611468</c:v>
                </c:pt>
                <c:pt idx="32">
                  <c:v>0.37259960138295956</c:v>
                </c:pt>
                <c:pt idx="33">
                  <c:v>0.51602009955059902</c:v>
                </c:pt>
                <c:pt idx="34">
                  <c:v>0.37487083384540953</c:v>
                </c:pt>
                <c:pt idx="35">
                  <c:v>0.56393135675417772</c:v>
                </c:pt>
                <c:pt idx="36">
                  <c:v>0.6485739251608269</c:v>
                </c:pt>
                <c:pt idx="37">
                  <c:v>0.81734999262909336</c:v>
                </c:pt>
                <c:pt idx="38">
                  <c:v>0.71387185845626411</c:v>
                </c:pt>
                <c:pt idx="40">
                  <c:v>8.411391947142377E-2</c:v>
                </c:pt>
                <c:pt idx="41">
                  <c:v>0.86159986646648112</c:v>
                </c:pt>
                <c:pt idx="42">
                  <c:v>0.54750408058180233</c:v>
                </c:pt>
                <c:pt idx="43">
                  <c:v>0.25012926472240193</c:v>
                </c:pt>
                <c:pt idx="44">
                  <c:v>0.3469503382294295</c:v>
                </c:pt>
                <c:pt idx="45">
                  <c:v>0.14514350210467047</c:v>
                </c:pt>
                <c:pt idx="46">
                  <c:v>0.12652331183061927</c:v>
                </c:pt>
                <c:pt idx="47">
                  <c:v>9.8818191706768102E-2</c:v>
                </c:pt>
                <c:pt idx="48">
                  <c:v>6.3614088538793259E-2</c:v>
                </c:pt>
                <c:pt idx="49">
                  <c:v>3.0642058652881332E-2</c:v>
                </c:pt>
                <c:pt idx="50">
                  <c:v>1.1434480673024088E-2</c:v>
                </c:pt>
                <c:pt idx="51">
                  <c:v>-3.1873614876054529E-2</c:v>
                </c:pt>
                <c:pt idx="52">
                  <c:v>-5.181738544718878E-2</c:v>
                </c:pt>
                <c:pt idx="53">
                  <c:v>-7.8682541151737437E-2</c:v>
                </c:pt>
                <c:pt idx="54">
                  <c:v>-0.10393629658335787</c:v>
                </c:pt>
                <c:pt idx="55">
                  <c:v>-0.13249312888062778</c:v>
                </c:pt>
                <c:pt idx="56">
                  <c:v>-0.15980665720060827</c:v>
                </c:pt>
                <c:pt idx="57">
                  <c:v>-0.18720633571744047</c:v>
                </c:pt>
                <c:pt idx="58">
                  <c:v>-0.22159005405630608</c:v>
                </c:pt>
                <c:pt idx="59">
                  <c:v>-0.26681107556729322</c:v>
                </c:pt>
                <c:pt idx="60">
                  <c:v>-0.29942284099364425</c:v>
                </c:pt>
                <c:pt idx="61">
                  <c:v>-0.34229235372238781</c:v>
                </c:pt>
                <c:pt idx="62">
                  <c:v>-0.38688291242914291</c:v>
                </c:pt>
                <c:pt idx="63">
                  <c:v>-0.52813790792137738</c:v>
                </c:pt>
                <c:pt idx="64">
                  <c:v>-0.71603344521363033</c:v>
                </c:pt>
                <c:pt idx="65">
                  <c:v>-0.79342960728965251</c:v>
                </c:pt>
                <c:pt idx="66">
                  <c:v>-0.80810255218068705</c:v>
                </c:pt>
                <c:pt idx="67">
                  <c:v>-0.80198393024520753</c:v>
                </c:pt>
                <c:pt idx="68">
                  <c:v>-0.78786704571566923</c:v>
                </c:pt>
                <c:pt idx="69">
                  <c:v>-0.72357354539716034</c:v>
                </c:pt>
                <c:pt idx="70">
                  <c:v>-0.69564521794510303</c:v>
                </c:pt>
                <c:pt idx="71">
                  <c:v>-0.63852959539154375</c:v>
                </c:pt>
                <c:pt idx="72">
                  <c:v>-0.57162221978219807</c:v>
                </c:pt>
                <c:pt idx="73">
                  <c:v>-0.28768683463163952</c:v>
                </c:pt>
                <c:pt idx="74">
                  <c:v>-3.2462960540880027E-2</c:v>
                </c:pt>
                <c:pt idx="75">
                  <c:v>-3.235135687677694E-2</c:v>
                </c:pt>
                <c:pt idx="76">
                  <c:v>0.5013745660858353</c:v>
                </c:pt>
                <c:pt idx="77">
                  <c:v>0.81073209114367872</c:v>
                </c:pt>
                <c:pt idx="78">
                  <c:v>0.78496535044898752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6-4EDA-AF91-446A20E70776}"/>
            </c:ext>
          </c:extLst>
        </c:ser>
        <c:ser>
          <c:idx val="1"/>
          <c:order val="1"/>
          <c:tx>
            <c:v>ewp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'su2'!$K$2:$K$27</c:f>
              <c:numCache>
                <c:formatCode>General</c:formatCode>
                <c:ptCount val="26"/>
                <c:pt idx="0">
                  <c:v>0</c:v>
                </c:pt>
                <c:pt idx="1">
                  <c:v>0.02</c:v>
                </c:pt>
                <c:pt idx="2">
                  <c:v>7.0000000000000007E-2</c:v>
                </c:pt>
                <c:pt idx="3">
                  <c:v>0.12</c:v>
                </c:pt>
                <c:pt idx="4">
                  <c:v>0.15</c:v>
                </c:pt>
                <c:pt idx="5">
                  <c:v>0.19</c:v>
                </c:pt>
                <c:pt idx="6">
                  <c:v>0.23</c:v>
                </c:pt>
                <c:pt idx="7">
                  <c:v>0.28999999999999998</c:v>
                </c:pt>
                <c:pt idx="8">
                  <c:v>0.33</c:v>
                </c:pt>
                <c:pt idx="9">
                  <c:v>0.39</c:v>
                </c:pt>
                <c:pt idx="10">
                  <c:v>0.44</c:v>
                </c:pt>
                <c:pt idx="11">
                  <c:v>0.5</c:v>
                </c:pt>
                <c:pt idx="12">
                  <c:v>0.61</c:v>
                </c:pt>
                <c:pt idx="13">
                  <c:v>0.69</c:v>
                </c:pt>
                <c:pt idx="14">
                  <c:v>0.76</c:v>
                </c:pt>
                <c:pt idx="15">
                  <c:v>0.9</c:v>
                </c:pt>
                <c:pt idx="17">
                  <c:v>0</c:v>
                </c:pt>
                <c:pt idx="18">
                  <c:v>7.0000000000000007E-2</c:v>
                </c:pt>
                <c:pt idx="19">
                  <c:v>0.16</c:v>
                </c:pt>
                <c:pt idx="20">
                  <c:v>0.24</c:v>
                </c:pt>
                <c:pt idx="21">
                  <c:v>0.39</c:v>
                </c:pt>
                <c:pt idx="22">
                  <c:v>0.51</c:v>
                </c:pt>
                <c:pt idx="23">
                  <c:v>0.63</c:v>
                </c:pt>
                <c:pt idx="24">
                  <c:v>0.74</c:v>
                </c:pt>
                <c:pt idx="25">
                  <c:v>0.85</c:v>
                </c:pt>
              </c:numCache>
            </c:numRef>
          </c:xVal>
          <c:yVal>
            <c:numRef>
              <c:f>'su2'!$L$2:$L$27</c:f>
              <c:numCache>
                <c:formatCode>General</c:formatCode>
                <c:ptCount val="26"/>
                <c:pt idx="0">
                  <c:v>1.0920000000000001</c:v>
                </c:pt>
                <c:pt idx="1">
                  <c:v>-0.19839999999999999</c:v>
                </c:pt>
                <c:pt idx="2">
                  <c:v>-0.8911</c:v>
                </c:pt>
                <c:pt idx="3">
                  <c:v>-0.97209999999999996</c:v>
                </c:pt>
                <c:pt idx="4">
                  <c:v>-1.0620000000000001</c:v>
                </c:pt>
                <c:pt idx="5">
                  <c:v>-1.0900000000000001</c:v>
                </c:pt>
                <c:pt idx="6">
                  <c:v>-1.028</c:v>
                </c:pt>
                <c:pt idx="7">
                  <c:v>-0.96760000000000002</c:v>
                </c:pt>
                <c:pt idx="8">
                  <c:v>-0.66049999999999998</c:v>
                </c:pt>
                <c:pt idx="9">
                  <c:v>-0.22389999999999999</c:v>
                </c:pt>
                <c:pt idx="10">
                  <c:v>-0.19470000000000001</c:v>
                </c:pt>
                <c:pt idx="11">
                  <c:v>-0.19020000000000001</c:v>
                </c:pt>
                <c:pt idx="12">
                  <c:v>-0.1474</c:v>
                </c:pt>
                <c:pt idx="13">
                  <c:v>-0.1103</c:v>
                </c:pt>
                <c:pt idx="14">
                  <c:v>-6.5269999999999995E-2</c:v>
                </c:pt>
                <c:pt idx="15">
                  <c:v>6.0740000000000002E-2</c:v>
                </c:pt>
                <c:pt idx="17">
                  <c:v>1.141</c:v>
                </c:pt>
                <c:pt idx="18">
                  <c:v>0.87739999999999996</c:v>
                </c:pt>
                <c:pt idx="19">
                  <c:v>-0.2487</c:v>
                </c:pt>
                <c:pt idx="20">
                  <c:v>-0.32629999999999998</c:v>
                </c:pt>
                <c:pt idx="21">
                  <c:v>-0.25879999999999997</c:v>
                </c:pt>
                <c:pt idx="22">
                  <c:v>-0.17549999999999999</c:v>
                </c:pt>
                <c:pt idx="23">
                  <c:v>-0.1227</c:v>
                </c:pt>
                <c:pt idx="24">
                  <c:v>-6.6400000000000001E-2</c:v>
                </c:pt>
                <c:pt idx="25">
                  <c:v>-1.1270000000000001E-2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C6-4EDA-AF91-446A20E70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144112"/>
        <c:axId val="2030138352"/>
      </c:scatterChart>
      <c:valAx>
        <c:axId val="20301441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138352"/>
        <c:crosses val="autoZero"/>
        <c:crossBetween val="midCat"/>
      </c:valAx>
      <c:valAx>
        <c:axId val="203013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14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65266841644799"/>
          <c:y val="0.13763815981335664"/>
          <c:w val="0.126791776027996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378619</xdr:colOff>
      <xdr:row>0</xdr:row>
      <xdr:rowOff>152401</xdr:rowOff>
    </xdr:from>
    <xdr:to>
      <xdr:col>19</xdr:col>
      <xdr:colOff>150019</xdr:colOff>
      <xdr:row>13</xdr:row>
      <xdr:rowOff>109538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5F4F89B-2990-9E88-7B37-3443544ED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F8A0-E075-4B3C-ABDD-63172FBD11B5}">
  <dimension ref="A1:L80"/>
  <sheetViews>
    <sheetView tabSelected="1" topLeftCell="C1" workbookViewId="0">
      <selection activeCell="N21" sqref="N21"/>
    </sheetView>
  </sheetViews>
  <sheetFormatPr defaultRowHeight="16.899999999999999" x14ac:dyDescent="0.6"/>
  <sheetData>
    <row r="1" spans="1:12" x14ac:dyDescent="0.6">
      <c r="B1" t="s">
        <v>0</v>
      </c>
      <c r="C1" t="s">
        <v>1</v>
      </c>
      <c r="D1" t="s">
        <v>2</v>
      </c>
      <c r="H1" t="s">
        <v>3</v>
      </c>
      <c r="I1" t="s">
        <v>2</v>
      </c>
    </row>
    <row r="2" spans="1:12" x14ac:dyDescent="0.6">
      <c r="A2">
        <v>2</v>
      </c>
      <c r="B2">
        <v>0.122784</v>
      </c>
      <c r="C2">
        <v>153108</v>
      </c>
      <c r="D2">
        <f t="shared" ref="D2:D40" si="0">(C2 - 101325) / (0.5 * 1.225 * (1.103*261.8)^2)</f>
        <v>1.0138899189917916</v>
      </c>
      <c r="F2">
        <f>MAX(B2:B80)</f>
        <v>0.12378400000000001</v>
      </c>
      <c r="G2">
        <f>F2-F3</f>
        <v>0.16506700000000002</v>
      </c>
      <c r="H2">
        <f>(B2-$F$3)/$G$2</f>
        <v>0.99394185391386525</v>
      </c>
      <c r="I2">
        <f>D2</f>
        <v>1.0138899189917916</v>
      </c>
      <c r="K2">
        <v>0</v>
      </c>
      <c r="L2">
        <v>1.0920000000000001</v>
      </c>
    </row>
    <row r="3" spans="1:12" x14ac:dyDescent="0.6">
      <c r="A3">
        <v>2</v>
      </c>
      <c r="B3">
        <v>0.121572</v>
      </c>
      <c r="C3">
        <v>127494</v>
      </c>
      <c r="D3">
        <f t="shared" si="0"/>
        <v>0.51237829577460159</v>
      </c>
      <c r="F3">
        <f>MIN(B2:B80)</f>
        <v>-4.1283E-2</v>
      </c>
      <c r="H3">
        <f t="shared" ref="H3:H67" si="1">(B3-$F$3)/$G$2</f>
        <v>0.9865993808574699</v>
      </c>
      <c r="I3">
        <f t="shared" ref="I3:I67" si="2">D3</f>
        <v>0.51237829577460159</v>
      </c>
      <c r="K3">
        <v>0.02</v>
      </c>
      <c r="L3">
        <v>-0.19839999999999999</v>
      </c>
    </row>
    <row r="4" spans="1:12" x14ac:dyDescent="0.6">
      <c r="A4">
        <v>2</v>
      </c>
      <c r="B4">
        <v>0.12010800000000001</v>
      </c>
      <c r="C4">
        <v>116079</v>
      </c>
      <c r="D4">
        <f t="shared" si="0"/>
        <v>0.2888772737154065</v>
      </c>
      <c r="H4">
        <f t="shared" si="1"/>
        <v>0.97773025498736865</v>
      </c>
      <c r="I4">
        <f t="shared" si="2"/>
        <v>0.2888772737154065</v>
      </c>
      <c r="K4">
        <v>7.0000000000000007E-2</v>
      </c>
      <c r="L4">
        <v>-0.8911</v>
      </c>
    </row>
    <row r="5" spans="1:12" x14ac:dyDescent="0.6">
      <c r="A5">
        <v>2</v>
      </c>
      <c r="B5">
        <v>0.118344</v>
      </c>
      <c r="C5">
        <v>119605</v>
      </c>
      <c r="D5">
        <f t="shared" si="0"/>
        <v>0.35791490873780879</v>
      </c>
      <c r="H5">
        <f t="shared" si="1"/>
        <v>0.96704368529142715</v>
      </c>
      <c r="I5">
        <f t="shared" si="2"/>
        <v>0.35791490873780879</v>
      </c>
      <c r="K5">
        <v>0.12</v>
      </c>
      <c r="L5">
        <v>-0.97209999999999996</v>
      </c>
    </row>
    <row r="6" spans="1:12" x14ac:dyDescent="0.6">
      <c r="A6">
        <v>2</v>
      </c>
      <c r="B6">
        <v>0.11623</v>
      </c>
      <c r="C6">
        <v>107459</v>
      </c>
      <c r="D6">
        <f t="shared" si="0"/>
        <v>0.12010120624713999</v>
      </c>
      <c r="H6">
        <f t="shared" si="1"/>
        <v>0.95423676446533834</v>
      </c>
      <c r="I6">
        <f t="shared" si="2"/>
        <v>0.12010120624713999</v>
      </c>
      <c r="K6">
        <v>0.15</v>
      </c>
      <c r="L6">
        <v>-1.0620000000000001</v>
      </c>
    </row>
    <row r="7" spans="1:12" x14ac:dyDescent="0.6">
      <c r="A7">
        <v>2</v>
      </c>
      <c r="B7">
        <v>0.113707</v>
      </c>
      <c r="C7">
        <v>109874</v>
      </c>
      <c r="D7">
        <f t="shared" si="0"/>
        <v>0.16738591656452556</v>
      </c>
      <c r="H7">
        <f t="shared" si="1"/>
        <v>0.93895206189002045</v>
      </c>
      <c r="I7">
        <f t="shared" si="2"/>
        <v>0.16738591656452556</v>
      </c>
      <c r="K7">
        <v>0.19</v>
      </c>
      <c r="L7">
        <v>-1.0900000000000001</v>
      </c>
    </row>
    <row r="8" spans="1:12" x14ac:dyDescent="0.6">
      <c r="A8">
        <v>2</v>
      </c>
      <c r="B8">
        <v>0.11071300000000001</v>
      </c>
      <c r="C8">
        <v>107541</v>
      </c>
      <c r="D8">
        <f t="shared" si="0"/>
        <v>0.12170673264300981</v>
      </c>
      <c r="H8">
        <f t="shared" si="1"/>
        <v>0.92081397250813313</v>
      </c>
      <c r="I8">
        <f t="shared" si="2"/>
        <v>0.12170673264300981</v>
      </c>
      <c r="K8">
        <v>0.23</v>
      </c>
      <c r="L8">
        <v>-1.028</v>
      </c>
    </row>
    <row r="9" spans="1:12" x14ac:dyDescent="0.6">
      <c r="A9">
        <v>2</v>
      </c>
      <c r="B9">
        <v>0.107186</v>
      </c>
      <c r="C9">
        <v>104979</v>
      </c>
      <c r="D9">
        <f t="shared" si="0"/>
        <v>7.1543822567174689E-2</v>
      </c>
      <c r="H9">
        <f t="shared" si="1"/>
        <v>0.8994468912623359</v>
      </c>
      <c r="I9">
        <f t="shared" si="2"/>
        <v>7.1543822567174689E-2</v>
      </c>
      <c r="K9">
        <v>0.28999999999999998</v>
      </c>
      <c r="L9">
        <v>-0.96760000000000002</v>
      </c>
    </row>
    <row r="10" spans="1:12" x14ac:dyDescent="0.6">
      <c r="A10">
        <v>2</v>
      </c>
      <c r="B10">
        <v>0.103065</v>
      </c>
      <c r="C10">
        <v>104140</v>
      </c>
      <c r="D10">
        <f t="shared" si="0"/>
        <v>5.5116546394799328E-2</v>
      </c>
      <c r="H10">
        <f t="shared" si="1"/>
        <v>0.87448127124137465</v>
      </c>
      <c r="I10">
        <f t="shared" si="2"/>
        <v>5.5116546394799328E-2</v>
      </c>
      <c r="K10">
        <v>0.33</v>
      </c>
      <c r="L10">
        <v>-0.66049999999999998</v>
      </c>
    </row>
    <row r="11" spans="1:12" x14ac:dyDescent="0.6">
      <c r="A11">
        <v>2</v>
      </c>
      <c r="B11">
        <v>9.8296599999999998E-2</v>
      </c>
      <c r="C11">
        <v>101991</v>
      </c>
      <c r="D11">
        <f t="shared" si="0"/>
        <v>1.3040007068893909E-2</v>
      </c>
      <c r="H11">
        <f t="shared" si="1"/>
        <v>0.84559360744424983</v>
      </c>
      <c r="I11">
        <f t="shared" si="2"/>
        <v>1.3040007068893909E-2</v>
      </c>
      <c r="K11">
        <v>0.39</v>
      </c>
      <c r="L11">
        <v>-0.22389999999999999</v>
      </c>
    </row>
    <row r="12" spans="1:12" x14ac:dyDescent="0.6">
      <c r="A12">
        <v>2</v>
      </c>
      <c r="B12">
        <v>9.2838599999999993E-2</v>
      </c>
      <c r="C12">
        <v>100056</v>
      </c>
      <c r="D12">
        <f t="shared" si="0"/>
        <v>-2.4846499955595149E-2</v>
      </c>
      <c r="H12">
        <f t="shared" si="1"/>
        <v>0.81252824610612651</v>
      </c>
      <c r="I12">
        <f t="shared" si="2"/>
        <v>-2.4846499955595149E-2</v>
      </c>
      <c r="K12">
        <v>0.44</v>
      </c>
      <c r="L12">
        <v>-0.19470000000000001</v>
      </c>
    </row>
    <row r="13" spans="1:12" x14ac:dyDescent="0.6">
      <c r="A13">
        <v>2</v>
      </c>
      <c r="B13">
        <v>8.6670899999999995E-2</v>
      </c>
      <c r="C13">
        <v>99276.5</v>
      </c>
      <c r="D13">
        <f t="shared" si="0"/>
        <v>-4.010879051145521E-2</v>
      </c>
      <c r="H13">
        <f t="shared" si="1"/>
        <v>0.77516341849067349</v>
      </c>
      <c r="I13">
        <f t="shared" si="2"/>
        <v>-4.010879051145521E-2</v>
      </c>
      <c r="K13">
        <v>0.5</v>
      </c>
      <c r="L13">
        <v>-0.19020000000000001</v>
      </c>
    </row>
    <row r="14" spans="1:12" x14ac:dyDescent="0.6">
      <c r="A14">
        <v>2</v>
      </c>
      <c r="B14">
        <v>7.9800399999999994E-2</v>
      </c>
      <c r="C14">
        <v>97639.8</v>
      </c>
      <c r="D14">
        <f t="shared" si="0"/>
        <v>-7.2154705781212899E-2</v>
      </c>
      <c r="H14">
        <f t="shared" si="1"/>
        <v>0.73354092580588481</v>
      </c>
      <c r="I14">
        <f t="shared" si="2"/>
        <v>-7.2154705781212899E-2</v>
      </c>
      <c r="K14">
        <v>0.61</v>
      </c>
      <c r="L14">
        <v>-0.1474</v>
      </c>
    </row>
    <row r="15" spans="1:12" x14ac:dyDescent="0.6">
      <c r="A15">
        <v>2</v>
      </c>
      <c r="B15">
        <v>7.2268399999999997E-2</v>
      </c>
      <c r="C15">
        <v>96527</v>
      </c>
      <c r="D15">
        <f t="shared" si="0"/>
        <v>-9.3942873748578029E-2</v>
      </c>
      <c r="H15">
        <f t="shared" si="1"/>
        <v>0.6879109694851181</v>
      </c>
      <c r="I15">
        <f t="shared" si="2"/>
        <v>-9.3942873748578029E-2</v>
      </c>
      <c r="K15">
        <v>0.69</v>
      </c>
      <c r="L15">
        <v>-0.1103</v>
      </c>
    </row>
    <row r="16" spans="1:12" x14ac:dyDescent="0.6">
      <c r="A16">
        <v>2</v>
      </c>
      <c r="B16">
        <v>6.4154799999999998E-2</v>
      </c>
      <c r="C16">
        <v>95555.1</v>
      </c>
      <c r="D16">
        <f t="shared" si="0"/>
        <v>-0.11297227745767401</v>
      </c>
      <c r="H16">
        <f t="shared" si="1"/>
        <v>0.63875759540065535</v>
      </c>
      <c r="I16">
        <f t="shared" si="2"/>
        <v>-0.11297227745767401</v>
      </c>
      <c r="K16">
        <v>0.76</v>
      </c>
      <c r="L16">
        <v>-6.5269999999999995E-2</v>
      </c>
    </row>
    <row r="17" spans="1:12" x14ac:dyDescent="0.6">
      <c r="A17">
        <v>2</v>
      </c>
      <c r="B17">
        <v>5.5578200000000001E-2</v>
      </c>
      <c r="C17">
        <v>94070.6</v>
      </c>
      <c r="D17">
        <f t="shared" si="0"/>
        <v>-0.14203817909997582</v>
      </c>
      <c r="H17">
        <f t="shared" si="1"/>
        <v>0.58679929967831246</v>
      </c>
      <c r="I17">
        <f t="shared" si="2"/>
        <v>-0.14203817909997582</v>
      </c>
      <c r="K17">
        <v>0.9</v>
      </c>
      <c r="L17">
        <v>6.0740000000000002E-2</v>
      </c>
    </row>
    <row r="18" spans="1:12" x14ac:dyDescent="0.6">
      <c r="A18">
        <v>2</v>
      </c>
      <c r="B18">
        <v>4.6691799999999999E-2</v>
      </c>
      <c r="C18">
        <v>92824.9</v>
      </c>
      <c r="D18">
        <f t="shared" si="0"/>
        <v>-0.16642847460406185</v>
      </c>
      <c r="H18">
        <f t="shared" si="1"/>
        <v>0.53296419029848474</v>
      </c>
      <c r="I18">
        <f t="shared" si="2"/>
        <v>-0.16642847460406185</v>
      </c>
    </row>
    <row r="19" spans="1:12" x14ac:dyDescent="0.6">
      <c r="A19">
        <v>2</v>
      </c>
      <c r="B19">
        <v>3.76738E-2</v>
      </c>
      <c r="C19">
        <v>91468.1</v>
      </c>
      <c r="D19">
        <f t="shared" si="0"/>
        <v>-0.19299406257864907</v>
      </c>
      <c r="H19">
        <f t="shared" si="1"/>
        <v>0.47833182889372183</v>
      </c>
      <c r="I19">
        <f t="shared" si="2"/>
        <v>-0.19299406257864907</v>
      </c>
      <c r="K19">
        <v>0</v>
      </c>
      <c r="L19">
        <v>1.141</v>
      </c>
    </row>
    <row r="20" spans="1:12" x14ac:dyDescent="0.6">
      <c r="A20">
        <v>2</v>
      </c>
      <c r="B20">
        <v>2.8714E-2</v>
      </c>
      <c r="C20">
        <v>90187.5</v>
      </c>
      <c r="D20">
        <f t="shared" si="0"/>
        <v>-0.21806768578048935</v>
      </c>
      <c r="H20">
        <f t="shared" si="1"/>
        <v>0.42405205159117204</v>
      </c>
      <c r="I20">
        <f t="shared" si="2"/>
        <v>-0.21806768578048935</v>
      </c>
      <c r="K20">
        <v>7.0000000000000007E-2</v>
      </c>
      <c r="L20">
        <v>0.87739999999999996</v>
      </c>
    </row>
    <row r="21" spans="1:12" x14ac:dyDescent="0.6">
      <c r="A21">
        <v>2</v>
      </c>
      <c r="B21">
        <v>1.9998499999999999E-2</v>
      </c>
      <c r="C21">
        <v>88751.2</v>
      </c>
      <c r="D21">
        <f t="shared" si="0"/>
        <v>-0.24618985117546285</v>
      </c>
      <c r="H21">
        <f t="shared" si="1"/>
        <v>0.37125227937746486</v>
      </c>
      <c r="I21">
        <f t="shared" si="2"/>
        <v>-0.24618985117546285</v>
      </c>
      <c r="K21">
        <v>0.16</v>
      </c>
      <c r="L21">
        <v>-0.2487</v>
      </c>
    </row>
    <row r="22" spans="1:12" x14ac:dyDescent="0.6">
      <c r="A22">
        <v>2</v>
      </c>
      <c r="B22">
        <v>1.1694700000000001E-2</v>
      </c>
      <c r="C22">
        <v>87490.4</v>
      </c>
      <c r="D22">
        <f t="shared" si="0"/>
        <v>-0.27087579849147109</v>
      </c>
      <c r="H22">
        <f t="shared" si="1"/>
        <v>0.32094664590741939</v>
      </c>
      <c r="I22">
        <f t="shared" si="2"/>
        <v>-0.27087579849147109</v>
      </c>
      <c r="K22">
        <v>0.24</v>
      </c>
      <c r="L22">
        <v>-0.32629999999999998</v>
      </c>
    </row>
    <row r="23" spans="1:12" x14ac:dyDescent="0.6">
      <c r="A23">
        <v>2</v>
      </c>
      <c r="B23">
        <v>3.9396300000000004E-3</v>
      </c>
      <c r="C23">
        <v>85831</v>
      </c>
      <c r="D23">
        <f t="shared" si="0"/>
        <v>-0.30336617045862196</v>
      </c>
      <c r="H23">
        <f t="shared" si="1"/>
        <v>0.27396529893921856</v>
      </c>
      <c r="I23">
        <f t="shared" si="2"/>
        <v>-0.30336617045862196</v>
      </c>
      <c r="K23">
        <v>0.39</v>
      </c>
      <c r="L23">
        <v>-0.25879999999999997</v>
      </c>
    </row>
    <row r="24" spans="1:12" x14ac:dyDescent="0.6">
      <c r="A24">
        <v>2</v>
      </c>
      <c r="B24">
        <v>-3.1673000000000001E-3</v>
      </c>
      <c r="C24">
        <v>85216.4</v>
      </c>
      <c r="D24">
        <f t="shared" si="0"/>
        <v>-0.31539978659156831</v>
      </c>
      <c r="H24">
        <f t="shared" si="1"/>
        <v>0.23091047877528517</v>
      </c>
      <c r="I24">
        <f t="shared" si="2"/>
        <v>-0.31539978659156831</v>
      </c>
      <c r="K24">
        <v>0.51</v>
      </c>
      <c r="L24">
        <v>-0.17549999999999999</v>
      </c>
    </row>
    <row r="25" spans="1:12" x14ac:dyDescent="0.6">
      <c r="A25">
        <v>2</v>
      </c>
      <c r="B25">
        <v>-9.5662899999999999E-3</v>
      </c>
      <c r="C25">
        <v>85087.7</v>
      </c>
      <c r="D25">
        <f t="shared" si="0"/>
        <v>-0.31791967984947611</v>
      </c>
      <c r="H25">
        <f t="shared" si="1"/>
        <v>0.19214446255156997</v>
      </c>
      <c r="I25">
        <f t="shared" si="2"/>
        <v>-0.31791967984947611</v>
      </c>
      <c r="K25">
        <v>0.63</v>
      </c>
      <c r="L25">
        <v>-0.1227</v>
      </c>
    </row>
    <row r="26" spans="1:12" x14ac:dyDescent="0.6">
      <c r="A26">
        <v>2</v>
      </c>
      <c r="B26">
        <v>-1.52348E-2</v>
      </c>
      <c r="C26">
        <v>85081.2</v>
      </c>
      <c r="D26">
        <f t="shared" si="0"/>
        <v>-0.31804694718573406</v>
      </c>
      <c r="H26">
        <f t="shared" si="1"/>
        <v>0.15780380088085444</v>
      </c>
      <c r="I26">
        <f t="shared" si="2"/>
        <v>-0.31804694718573406</v>
      </c>
      <c r="K26">
        <v>0.74</v>
      </c>
      <c r="L26">
        <v>-6.6400000000000001E-2</v>
      </c>
    </row>
    <row r="27" spans="1:12" x14ac:dyDescent="0.6">
      <c r="A27">
        <v>2</v>
      </c>
      <c r="B27">
        <v>-2.0181899999999999E-2</v>
      </c>
      <c r="C27">
        <v>86242.1</v>
      </c>
      <c r="D27">
        <f t="shared" si="0"/>
        <v>-0.29531700093005986</v>
      </c>
      <c r="H27">
        <f t="shared" si="1"/>
        <v>0.12783354637813735</v>
      </c>
      <c r="I27">
        <f t="shared" si="2"/>
        <v>-0.29531700093005986</v>
      </c>
      <c r="K27">
        <v>0.85</v>
      </c>
      <c r="L27">
        <v>-1.1270000000000001E-2</v>
      </c>
    </row>
    <row r="28" spans="1:12" x14ac:dyDescent="0.6">
      <c r="A28">
        <v>2</v>
      </c>
      <c r="B28">
        <v>-2.44406E-2</v>
      </c>
      <c r="C28">
        <v>88680.5</v>
      </c>
      <c r="D28">
        <f t="shared" si="0"/>
        <v>-0.24757412820214567</v>
      </c>
      <c r="H28">
        <f t="shared" si="1"/>
        <v>0.10203371964111542</v>
      </c>
      <c r="I28">
        <f t="shared" si="2"/>
        <v>-0.24757412820214567</v>
      </c>
    </row>
    <row r="29" spans="1:12" x14ac:dyDescent="0.6">
      <c r="A29">
        <v>2</v>
      </c>
      <c r="B29">
        <v>-2.8060600000000002E-2</v>
      </c>
      <c r="C29">
        <v>93055.4</v>
      </c>
      <c r="D29">
        <f t="shared" si="0"/>
        <v>-0.16191537906445216</v>
      </c>
      <c r="H29">
        <f t="shared" si="1"/>
        <v>8.0103230809307716E-2</v>
      </c>
      <c r="I29">
        <f t="shared" si="2"/>
        <v>-0.16191537906445216</v>
      </c>
    </row>
    <row r="30" spans="1:12" x14ac:dyDescent="0.6">
      <c r="A30">
        <v>2</v>
      </c>
      <c r="B30">
        <v>-3.1100800000000001E-2</v>
      </c>
      <c r="C30">
        <v>93234.7</v>
      </c>
      <c r="D30">
        <f t="shared" si="0"/>
        <v>-0.15840475854275138</v>
      </c>
      <c r="H30">
        <f t="shared" si="1"/>
        <v>6.1685255078240943E-2</v>
      </c>
      <c r="I30">
        <f t="shared" si="2"/>
        <v>-0.15840475854275138</v>
      </c>
    </row>
    <row r="31" spans="1:12" x14ac:dyDescent="0.6">
      <c r="A31">
        <v>2</v>
      </c>
      <c r="B31">
        <v>-3.3623399999999998E-2</v>
      </c>
      <c r="C31">
        <v>100592</v>
      </c>
      <c r="D31">
        <f t="shared" si="0"/>
        <v>-1.4351839611860713E-2</v>
      </c>
      <c r="H31">
        <f t="shared" si="1"/>
        <v>4.6402975761357518E-2</v>
      </c>
      <c r="I31">
        <f t="shared" si="2"/>
        <v>-1.4351839611860713E-2</v>
      </c>
    </row>
    <row r="32" spans="1:12" x14ac:dyDescent="0.6">
      <c r="A32">
        <v>2</v>
      </c>
      <c r="B32">
        <v>-3.5689600000000002E-2</v>
      </c>
      <c r="C32">
        <v>107031</v>
      </c>
      <c r="D32">
        <f t="shared" si="0"/>
        <v>0.11172114164430727</v>
      </c>
      <c r="H32">
        <f t="shared" si="1"/>
        <v>3.3885634318185934E-2</v>
      </c>
      <c r="I32">
        <f t="shared" si="2"/>
        <v>0.11172114164430727</v>
      </c>
    </row>
    <row r="33" spans="1:9" x14ac:dyDescent="0.6">
      <c r="A33">
        <v>2</v>
      </c>
      <c r="B33">
        <v>-3.7356300000000002E-2</v>
      </c>
      <c r="C33">
        <v>116186</v>
      </c>
      <c r="D33">
        <f t="shared" si="0"/>
        <v>0.29097228986611468</v>
      </c>
      <c r="H33">
        <f t="shared" si="1"/>
        <v>2.3788522236425195E-2</v>
      </c>
      <c r="I33">
        <f t="shared" si="2"/>
        <v>0.29097228986611468</v>
      </c>
    </row>
    <row r="34" spans="1:9" x14ac:dyDescent="0.6">
      <c r="A34">
        <v>2</v>
      </c>
      <c r="B34">
        <v>-3.86735E-2</v>
      </c>
      <c r="C34">
        <v>120355</v>
      </c>
      <c r="D34">
        <f t="shared" si="0"/>
        <v>0.37259960138295956</v>
      </c>
      <c r="H34">
        <f t="shared" si="1"/>
        <v>1.5808732211768557E-2</v>
      </c>
      <c r="I34">
        <f t="shared" si="2"/>
        <v>0.37259960138295956</v>
      </c>
    </row>
    <row r="35" spans="1:9" x14ac:dyDescent="0.6">
      <c r="A35">
        <v>2</v>
      </c>
      <c r="B35">
        <v>-3.9683499999999997E-2</v>
      </c>
      <c r="C35">
        <v>127680</v>
      </c>
      <c r="D35">
        <f t="shared" si="0"/>
        <v>0.51602009955059902</v>
      </c>
      <c r="H35">
        <f t="shared" si="1"/>
        <v>9.6900046647725082E-3</v>
      </c>
      <c r="I35">
        <f t="shared" si="2"/>
        <v>0.51602009955059902</v>
      </c>
    </row>
    <row r="36" spans="1:9" x14ac:dyDescent="0.6">
      <c r="A36">
        <v>2</v>
      </c>
      <c r="B36">
        <v>-4.0419900000000002E-2</v>
      </c>
      <c r="C36">
        <v>120471</v>
      </c>
      <c r="D36">
        <f t="shared" si="0"/>
        <v>0.37487083384540953</v>
      </c>
      <c r="H36">
        <f t="shared" si="1"/>
        <v>5.2287858869428687E-3</v>
      </c>
      <c r="I36">
        <f t="shared" si="2"/>
        <v>0.37487083384540953</v>
      </c>
    </row>
    <row r="37" spans="1:9" x14ac:dyDescent="0.6">
      <c r="A37">
        <v>2</v>
      </c>
      <c r="B37">
        <v>-4.0884499999999997E-2</v>
      </c>
      <c r="C37">
        <v>130127</v>
      </c>
      <c r="D37">
        <f t="shared" si="0"/>
        <v>0.56393135675417772</v>
      </c>
      <c r="H37">
        <f t="shared" si="1"/>
        <v>2.4141712153247044E-3</v>
      </c>
      <c r="I37">
        <f t="shared" si="2"/>
        <v>0.56393135675417772</v>
      </c>
    </row>
    <row r="38" spans="1:9" x14ac:dyDescent="0.6">
      <c r="A38">
        <v>2</v>
      </c>
      <c r="B38">
        <v>-4.1144699999999999E-2</v>
      </c>
      <c r="C38">
        <v>134450</v>
      </c>
      <c r="D38">
        <f t="shared" si="0"/>
        <v>0.6485739251608269</v>
      </c>
      <c r="H38">
        <f t="shared" si="1"/>
        <v>8.3784160371243744E-4</v>
      </c>
      <c r="I38">
        <f t="shared" si="2"/>
        <v>0.6485739251608269</v>
      </c>
    </row>
    <row r="39" spans="1:9" x14ac:dyDescent="0.6">
      <c r="A39">
        <v>2</v>
      </c>
      <c r="B39">
        <v>-4.1261199999999998E-2</v>
      </c>
      <c r="C39">
        <v>143070</v>
      </c>
      <c r="D39">
        <f t="shared" si="0"/>
        <v>0.81734999262909336</v>
      </c>
      <c r="H39">
        <f t="shared" si="1"/>
        <v>1.3206758467775129E-4</v>
      </c>
      <c r="I39">
        <f t="shared" si="2"/>
        <v>0.81734999262909336</v>
      </c>
    </row>
    <row r="40" spans="1:9" x14ac:dyDescent="0.6">
      <c r="A40">
        <v>2</v>
      </c>
      <c r="B40">
        <v>-4.1283E-2</v>
      </c>
      <c r="C40">
        <v>137785</v>
      </c>
      <c r="D40">
        <f t="shared" si="0"/>
        <v>0.71387185845626411</v>
      </c>
      <c r="H40">
        <f t="shared" si="1"/>
        <v>0</v>
      </c>
      <c r="I40">
        <f t="shared" si="2"/>
        <v>0.71387185845626411</v>
      </c>
    </row>
    <row r="42" spans="1:9" x14ac:dyDescent="0.6">
      <c r="A42">
        <v>1</v>
      </c>
      <c r="B42">
        <v>0.12378400000000001</v>
      </c>
      <c r="C42">
        <v>105621</v>
      </c>
      <c r="D42">
        <f t="shared" ref="D42:D80" si="3">(C42 - 101325) / (0.5 * 1.225 * (1.103*261.8)^2)</f>
        <v>8.411391947142377E-2</v>
      </c>
      <c r="H42">
        <f t="shared" si="1"/>
        <v>1</v>
      </c>
      <c r="I42">
        <f t="shared" si="2"/>
        <v>8.411391947142377E-2</v>
      </c>
    </row>
    <row r="43" spans="1:9" x14ac:dyDescent="0.6">
      <c r="A43">
        <v>1</v>
      </c>
      <c r="B43">
        <v>0.122822</v>
      </c>
      <c r="C43">
        <v>145330</v>
      </c>
      <c r="D43">
        <f t="shared" si="3"/>
        <v>0.86159986646648112</v>
      </c>
      <c r="H43">
        <f t="shared" si="1"/>
        <v>0.99417206346513831</v>
      </c>
      <c r="I43">
        <f t="shared" si="2"/>
        <v>0.86159986646648112</v>
      </c>
    </row>
    <row r="44" spans="1:9" x14ac:dyDescent="0.6">
      <c r="A44">
        <v>1</v>
      </c>
      <c r="B44">
        <v>0.121658</v>
      </c>
      <c r="C44">
        <v>129288</v>
      </c>
      <c r="D44">
        <f t="shared" si="3"/>
        <v>0.54750408058180233</v>
      </c>
      <c r="H44">
        <f t="shared" si="1"/>
        <v>0.98712038142087744</v>
      </c>
      <c r="I44">
        <f t="shared" si="2"/>
        <v>0.54750408058180233</v>
      </c>
    </row>
    <row r="45" spans="1:9" x14ac:dyDescent="0.6">
      <c r="A45">
        <v>1</v>
      </c>
      <c r="B45">
        <v>0.12024899999999999</v>
      </c>
      <c r="C45">
        <v>114100</v>
      </c>
      <c r="D45">
        <f t="shared" si="3"/>
        <v>0.25012926472240193</v>
      </c>
      <c r="H45">
        <f t="shared" si="1"/>
        <v>0.97858445358551371</v>
      </c>
      <c r="I45">
        <f t="shared" si="2"/>
        <v>0.25012926472240193</v>
      </c>
    </row>
    <row r="46" spans="1:9" x14ac:dyDescent="0.6">
      <c r="A46">
        <v>1</v>
      </c>
      <c r="B46">
        <v>0.11855300000000001</v>
      </c>
      <c r="C46">
        <v>119045</v>
      </c>
      <c r="D46">
        <f t="shared" si="3"/>
        <v>0.3469503382294295</v>
      </c>
      <c r="H46">
        <f t="shared" si="1"/>
        <v>0.96830983782342916</v>
      </c>
      <c r="I46">
        <f t="shared" si="2"/>
        <v>0.3469503382294295</v>
      </c>
    </row>
    <row r="47" spans="1:9" x14ac:dyDescent="0.6">
      <c r="A47">
        <v>1</v>
      </c>
      <c r="B47">
        <v>0.116517</v>
      </c>
      <c r="C47">
        <v>108738</v>
      </c>
      <c r="D47">
        <f t="shared" si="3"/>
        <v>0.14514350210467047</v>
      </c>
      <c r="H47">
        <f t="shared" si="1"/>
        <v>0.95597545239205883</v>
      </c>
      <c r="I47">
        <f t="shared" si="2"/>
        <v>0.14514350210467047</v>
      </c>
    </row>
    <row r="48" spans="1:9" x14ac:dyDescent="0.6">
      <c r="A48">
        <v>1</v>
      </c>
      <c r="B48">
        <v>0.11408699999999999</v>
      </c>
      <c r="C48">
        <v>107787</v>
      </c>
      <c r="D48">
        <f t="shared" si="3"/>
        <v>0.12652331183061927</v>
      </c>
      <c r="H48">
        <f t="shared" si="1"/>
        <v>0.94125415740275153</v>
      </c>
      <c r="I48">
        <f t="shared" si="2"/>
        <v>0.12652331183061927</v>
      </c>
    </row>
    <row r="49" spans="1:9" x14ac:dyDescent="0.6">
      <c r="A49">
        <v>1</v>
      </c>
      <c r="B49">
        <v>0.11120099999999999</v>
      </c>
      <c r="C49">
        <v>106372</v>
      </c>
      <c r="D49">
        <f t="shared" si="3"/>
        <v>9.8818191706768102E-2</v>
      </c>
      <c r="H49">
        <f t="shared" si="1"/>
        <v>0.9237703477981668</v>
      </c>
      <c r="I49">
        <f t="shared" si="2"/>
        <v>9.8818191706768102E-2</v>
      </c>
    </row>
    <row r="50" spans="1:9" x14ac:dyDescent="0.6">
      <c r="A50">
        <v>1</v>
      </c>
      <c r="B50">
        <v>0.107798</v>
      </c>
      <c r="C50">
        <v>104574</v>
      </c>
      <c r="D50">
        <f t="shared" si="3"/>
        <v>6.3614088538793259E-2</v>
      </c>
      <c r="H50">
        <f t="shared" si="1"/>
        <v>0.9031544766670504</v>
      </c>
      <c r="I50">
        <f t="shared" si="2"/>
        <v>6.3614088538793259E-2</v>
      </c>
    </row>
    <row r="51" spans="1:9" x14ac:dyDescent="0.6">
      <c r="A51">
        <v>1</v>
      </c>
      <c r="B51">
        <v>0.10381899999999999</v>
      </c>
      <c r="C51">
        <v>102890</v>
      </c>
      <c r="D51">
        <f t="shared" si="3"/>
        <v>3.0642058652881332E-2</v>
      </c>
      <c r="H51">
        <f t="shared" si="1"/>
        <v>0.87904911339032021</v>
      </c>
      <c r="I51">
        <f t="shared" si="2"/>
        <v>3.0642058652881332E-2</v>
      </c>
    </row>
    <row r="52" spans="1:9" x14ac:dyDescent="0.6">
      <c r="A52">
        <v>1</v>
      </c>
      <c r="B52">
        <v>9.9208299999999999E-2</v>
      </c>
      <c r="C52">
        <v>101909</v>
      </c>
      <c r="D52">
        <f t="shared" si="3"/>
        <v>1.1434480673024088E-2</v>
      </c>
      <c r="H52">
        <f t="shared" si="1"/>
        <v>0.85111681923097871</v>
      </c>
      <c r="I52">
        <f t="shared" si="2"/>
        <v>1.1434480673024088E-2</v>
      </c>
    </row>
    <row r="53" spans="1:9" x14ac:dyDescent="0.6">
      <c r="A53">
        <v>1</v>
      </c>
      <c r="B53">
        <v>9.3925599999999998E-2</v>
      </c>
      <c r="C53">
        <v>99697.1</v>
      </c>
      <c r="D53">
        <f t="shared" si="3"/>
        <v>-3.1873614876054529E-2</v>
      </c>
      <c r="H53">
        <f t="shared" si="1"/>
        <v>0.81911345090175502</v>
      </c>
      <c r="I53">
        <f t="shared" si="2"/>
        <v>-3.1873614876054529E-2</v>
      </c>
    </row>
    <row r="54" spans="1:9" x14ac:dyDescent="0.6">
      <c r="A54">
        <v>1</v>
      </c>
      <c r="B54">
        <v>8.7947899999999996E-2</v>
      </c>
      <c r="C54">
        <v>98678.5</v>
      </c>
      <c r="D54">
        <f t="shared" si="3"/>
        <v>-5.181738544718878E-2</v>
      </c>
      <c r="H54">
        <f t="shared" si="1"/>
        <v>0.78289967104266733</v>
      </c>
      <c r="I54">
        <f t="shared" si="2"/>
        <v>-5.181738544718878E-2</v>
      </c>
    </row>
    <row r="55" spans="1:9" x14ac:dyDescent="0.6">
      <c r="A55">
        <v>1</v>
      </c>
      <c r="B55">
        <v>8.1279299999999999E-2</v>
      </c>
      <c r="C55">
        <v>97306.4</v>
      </c>
      <c r="D55">
        <f t="shared" si="3"/>
        <v>-7.8682541151737437E-2</v>
      </c>
      <c r="H55">
        <f t="shared" si="1"/>
        <v>0.74250031805266947</v>
      </c>
      <c r="I55">
        <f t="shared" si="2"/>
        <v>-7.8682541151737437E-2</v>
      </c>
    </row>
    <row r="56" spans="1:9" x14ac:dyDescent="0.6">
      <c r="A56">
        <v>1</v>
      </c>
      <c r="B56">
        <v>7.3956800000000003E-2</v>
      </c>
      <c r="C56">
        <v>96016.6</v>
      </c>
      <c r="D56">
        <f t="shared" si="3"/>
        <v>-0.10393629658335787</v>
      </c>
      <c r="H56">
        <f t="shared" si="1"/>
        <v>0.69813954333694794</v>
      </c>
      <c r="I56">
        <f t="shared" si="2"/>
        <v>-0.10393629658335787</v>
      </c>
    </row>
    <row r="57" spans="1:9" x14ac:dyDescent="0.6">
      <c r="A57">
        <v>1</v>
      </c>
      <c r="B57">
        <v>6.6054000000000002E-2</v>
      </c>
      <c r="C57">
        <v>94558.1</v>
      </c>
      <c r="D57">
        <f t="shared" si="3"/>
        <v>-0.13249312888062778</v>
      </c>
      <c r="H57">
        <f t="shared" si="1"/>
        <v>0.6502632264474425</v>
      </c>
      <c r="I57">
        <f t="shared" si="2"/>
        <v>-0.13249312888062778</v>
      </c>
    </row>
    <row r="58" spans="1:9" x14ac:dyDescent="0.6">
      <c r="A58">
        <v>1</v>
      </c>
      <c r="B58">
        <v>5.7682400000000002E-2</v>
      </c>
      <c r="C58">
        <v>93163.1</v>
      </c>
      <c r="D58">
        <f t="shared" si="3"/>
        <v>-0.15980665720060827</v>
      </c>
      <c r="H58">
        <f t="shared" si="1"/>
        <v>0.59954685067275715</v>
      </c>
      <c r="I58">
        <f t="shared" si="2"/>
        <v>-0.15980665720060827</v>
      </c>
    </row>
    <row r="59" spans="1:9" x14ac:dyDescent="0.6">
      <c r="A59">
        <v>1</v>
      </c>
      <c r="B59">
        <v>4.8986799999999997E-2</v>
      </c>
      <c r="C59">
        <v>91763.7</v>
      </c>
      <c r="D59">
        <f t="shared" si="3"/>
        <v>-0.18720633571744047</v>
      </c>
      <c r="H59">
        <f t="shared" si="1"/>
        <v>0.54686763556616391</v>
      </c>
      <c r="I59">
        <f t="shared" si="2"/>
        <v>-0.18720633571744047</v>
      </c>
    </row>
    <row r="60" spans="1:9" x14ac:dyDescent="0.6">
      <c r="A60">
        <v>1</v>
      </c>
      <c r="B60">
        <v>4.0136400000000003E-2</v>
      </c>
      <c r="C60">
        <v>90007.6</v>
      </c>
      <c r="D60">
        <f t="shared" si="3"/>
        <v>-0.22159005405630608</v>
      </c>
      <c r="H60">
        <f t="shared" si="1"/>
        <v>0.49325061944543724</v>
      </c>
      <c r="I60">
        <f t="shared" si="2"/>
        <v>-0.22159005405630608</v>
      </c>
    </row>
    <row r="61" spans="1:9" x14ac:dyDescent="0.6">
      <c r="A61">
        <v>1</v>
      </c>
      <c r="B61">
        <v>3.1312600000000003E-2</v>
      </c>
      <c r="C61">
        <v>87698</v>
      </c>
      <c r="D61">
        <f t="shared" si="3"/>
        <v>-0.26681107556729322</v>
      </c>
      <c r="H61">
        <f t="shared" si="1"/>
        <v>0.43979475001060175</v>
      </c>
      <c r="I61">
        <f t="shared" si="2"/>
        <v>-0.26681107556729322</v>
      </c>
    </row>
    <row r="62" spans="1:9" x14ac:dyDescent="0.6">
      <c r="A62">
        <v>1</v>
      </c>
      <c r="B62">
        <v>2.2694200000000001E-2</v>
      </c>
      <c r="C62">
        <v>86032.4</v>
      </c>
      <c r="D62">
        <f t="shared" si="3"/>
        <v>-0.29942284099364425</v>
      </c>
      <c r="H62">
        <f t="shared" si="1"/>
        <v>0.38758322378185822</v>
      </c>
      <c r="I62">
        <f t="shared" si="2"/>
        <v>-0.29942284099364425</v>
      </c>
    </row>
    <row r="63" spans="1:9" x14ac:dyDescent="0.6">
      <c r="A63">
        <v>1</v>
      </c>
      <c r="B63">
        <v>1.4444E-2</v>
      </c>
      <c r="C63">
        <v>83842.899999999994</v>
      </c>
      <c r="D63">
        <f t="shared" si="3"/>
        <v>-0.34229235372238781</v>
      </c>
      <c r="H63">
        <f t="shared" si="1"/>
        <v>0.33760230694202953</v>
      </c>
      <c r="I63">
        <f t="shared" si="2"/>
        <v>-0.34229235372238781</v>
      </c>
    </row>
    <row r="64" spans="1:9" x14ac:dyDescent="0.6">
      <c r="A64">
        <v>1</v>
      </c>
      <c r="B64">
        <v>6.69683E-3</v>
      </c>
      <c r="C64">
        <v>81565.5</v>
      </c>
      <c r="D64">
        <f t="shared" si="3"/>
        <v>-0.38688291242914291</v>
      </c>
      <c r="H64">
        <f t="shared" si="1"/>
        <v>0.29066881932790922</v>
      </c>
      <c r="I64">
        <f t="shared" si="2"/>
        <v>-0.38688291242914291</v>
      </c>
    </row>
    <row r="65" spans="1:9" x14ac:dyDescent="0.6">
      <c r="A65">
        <v>1</v>
      </c>
      <c r="B65">
        <v>-4.46744E-4</v>
      </c>
      <c r="C65">
        <v>74351.100000000006</v>
      </c>
      <c r="D65">
        <f t="shared" si="3"/>
        <v>-0.52813790792137738</v>
      </c>
      <c r="H65">
        <f t="shared" si="1"/>
        <v>0.2473920044587955</v>
      </c>
      <c r="I65">
        <f t="shared" si="2"/>
        <v>-0.52813790792137738</v>
      </c>
    </row>
    <row r="66" spans="1:9" x14ac:dyDescent="0.6">
      <c r="A66">
        <v>1</v>
      </c>
      <c r="B66">
        <v>-6.92334E-3</v>
      </c>
      <c r="C66">
        <v>64754.6</v>
      </c>
      <c r="D66">
        <f t="shared" si="3"/>
        <v>-0.71603344521363033</v>
      </c>
      <c r="H66">
        <f t="shared" si="1"/>
        <v>0.20815583974991972</v>
      </c>
      <c r="I66">
        <f t="shared" si="2"/>
        <v>-0.71603344521363033</v>
      </c>
    </row>
    <row r="67" spans="1:9" x14ac:dyDescent="0.6">
      <c r="A67">
        <v>1</v>
      </c>
      <c r="B67">
        <v>-1.27049E-2</v>
      </c>
      <c r="C67">
        <v>60801.7</v>
      </c>
      <c r="D67">
        <f t="shared" si="3"/>
        <v>-0.79342960728965251</v>
      </c>
      <c r="H67">
        <f t="shared" si="1"/>
        <v>0.17313030466416665</v>
      </c>
      <c r="I67">
        <f t="shared" si="2"/>
        <v>-0.79342960728965251</v>
      </c>
    </row>
    <row r="68" spans="1:9" x14ac:dyDescent="0.6">
      <c r="A68">
        <v>1</v>
      </c>
      <c r="B68">
        <v>-1.7793699999999999E-2</v>
      </c>
      <c r="C68">
        <v>60052.3</v>
      </c>
      <c r="D68">
        <f t="shared" si="3"/>
        <v>-0.80810255218068705</v>
      </c>
      <c r="H68">
        <f t="shared" ref="H68:H80" si="4">(B68-$F$3)/$G$2</f>
        <v>0.14230161086104429</v>
      </c>
      <c r="I68">
        <f t="shared" ref="I68:I80" si="5">D68</f>
        <v>-0.80810255218068705</v>
      </c>
    </row>
    <row r="69" spans="1:9" x14ac:dyDescent="0.6">
      <c r="A69">
        <v>1</v>
      </c>
      <c r="B69">
        <v>-2.2216400000000001E-2</v>
      </c>
      <c r="C69">
        <v>60364.800000000003</v>
      </c>
      <c r="D69">
        <f t="shared" si="3"/>
        <v>-0.80198393024520753</v>
      </c>
      <c r="H69">
        <f t="shared" si="4"/>
        <v>0.11550824816589626</v>
      </c>
      <c r="I69">
        <f t="shared" si="5"/>
        <v>-0.80198393024520753</v>
      </c>
    </row>
    <row r="70" spans="1:9" x14ac:dyDescent="0.6">
      <c r="A70">
        <v>1</v>
      </c>
      <c r="B70">
        <v>-2.6016000000000001E-2</v>
      </c>
      <c r="C70">
        <v>61085.8</v>
      </c>
      <c r="D70">
        <f t="shared" si="3"/>
        <v>-0.78786704571566923</v>
      </c>
      <c r="H70">
        <f t="shared" si="4"/>
        <v>9.248971629701877E-2</v>
      </c>
      <c r="I70">
        <f t="shared" si="5"/>
        <v>-0.78786704571566923</v>
      </c>
    </row>
    <row r="71" spans="1:9" x14ac:dyDescent="0.6">
      <c r="A71">
        <v>1</v>
      </c>
      <c r="B71">
        <v>-2.9246100000000001E-2</v>
      </c>
      <c r="C71">
        <v>64369.5</v>
      </c>
      <c r="D71">
        <f t="shared" si="3"/>
        <v>-0.72357354539716034</v>
      </c>
      <c r="H71">
        <f t="shared" si="4"/>
        <v>7.2921298624195011E-2</v>
      </c>
      <c r="I71">
        <f t="shared" si="5"/>
        <v>-0.72357354539716034</v>
      </c>
    </row>
    <row r="72" spans="1:9" x14ac:dyDescent="0.6">
      <c r="A72">
        <v>1</v>
      </c>
      <c r="B72">
        <v>-3.1964699999999999E-2</v>
      </c>
      <c r="C72">
        <v>65795.899999999994</v>
      </c>
      <c r="D72">
        <f t="shared" si="3"/>
        <v>-0.69564521794510303</v>
      </c>
      <c r="H72">
        <f t="shared" si="4"/>
        <v>5.6451622674429172E-2</v>
      </c>
      <c r="I72">
        <f t="shared" si="5"/>
        <v>-0.69564521794510303</v>
      </c>
    </row>
    <row r="73" spans="1:9" x14ac:dyDescent="0.6">
      <c r="A73">
        <v>1</v>
      </c>
      <c r="B73">
        <v>-3.4229799999999998E-2</v>
      </c>
      <c r="C73">
        <v>68713</v>
      </c>
      <c r="D73">
        <f t="shared" si="3"/>
        <v>-0.63852959539154375</v>
      </c>
      <c r="H73">
        <f t="shared" si="4"/>
        <v>4.2729315974725422E-2</v>
      </c>
      <c r="I73">
        <f t="shared" si="5"/>
        <v>-0.63852959539154375</v>
      </c>
    </row>
    <row r="74" spans="1:9" x14ac:dyDescent="0.6">
      <c r="A74">
        <v>1</v>
      </c>
      <c r="B74">
        <v>-3.6096099999999999E-2</v>
      </c>
      <c r="C74">
        <v>72130.2</v>
      </c>
      <c r="D74">
        <f t="shared" si="3"/>
        <v>-0.57162221978219807</v>
      </c>
      <c r="H74">
        <f t="shared" si="4"/>
        <v>3.1422997934172185E-2</v>
      </c>
      <c r="I74">
        <f t="shared" si="5"/>
        <v>-0.57162221978219807</v>
      </c>
    </row>
    <row r="75" spans="1:9" x14ac:dyDescent="0.6">
      <c r="A75">
        <v>1</v>
      </c>
      <c r="B75">
        <v>-3.7612399999999997E-2</v>
      </c>
      <c r="C75">
        <v>86631.8</v>
      </c>
      <c r="D75">
        <f t="shared" si="3"/>
        <v>-0.28768683463163952</v>
      </c>
      <c r="H75">
        <f t="shared" si="4"/>
        <v>2.2237031023766122E-2</v>
      </c>
      <c r="I75">
        <f t="shared" si="5"/>
        <v>-0.28768683463163952</v>
      </c>
    </row>
    <row r="76" spans="1:9" x14ac:dyDescent="0.6">
      <c r="A76">
        <v>1</v>
      </c>
      <c r="B76">
        <v>-3.8819800000000002E-2</v>
      </c>
      <c r="C76">
        <v>99667</v>
      </c>
      <c r="D76">
        <f t="shared" si="3"/>
        <v>-3.2462960540880027E-2</v>
      </c>
      <c r="H76">
        <f t="shared" si="4"/>
        <v>1.4922425439367035E-2</v>
      </c>
      <c r="I76">
        <f t="shared" si="5"/>
        <v>-3.2462960540880027E-2</v>
      </c>
    </row>
    <row r="77" spans="1:9" x14ac:dyDescent="0.6">
      <c r="A77">
        <v>1</v>
      </c>
      <c r="B77">
        <v>-3.9751000000000002E-2</v>
      </c>
      <c r="C77">
        <v>99672.7</v>
      </c>
      <c r="D77">
        <f t="shared" si="3"/>
        <v>-3.235135687677694E-2</v>
      </c>
      <c r="H77">
        <f t="shared" si="4"/>
        <v>9.2810798039583836E-3</v>
      </c>
      <c r="I77">
        <f t="shared" si="5"/>
        <v>-3.235135687677694E-2</v>
      </c>
    </row>
    <row r="78" spans="1:9" x14ac:dyDescent="0.6">
      <c r="A78">
        <v>1</v>
      </c>
      <c r="B78">
        <v>-4.04312E-2</v>
      </c>
      <c r="C78">
        <v>126932</v>
      </c>
      <c r="D78">
        <f t="shared" si="3"/>
        <v>0.5013745660858353</v>
      </c>
      <c r="H78">
        <f t="shared" si="4"/>
        <v>5.1603288361695534E-3</v>
      </c>
      <c r="I78">
        <f t="shared" si="5"/>
        <v>0.5013745660858353</v>
      </c>
    </row>
    <row r="79" spans="1:9" x14ac:dyDescent="0.6">
      <c r="A79">
        <v>1</v>
      </c>
      <c r="B79">
        <v>-4.0910599999999998E-2</v>
      </c>
      <c r="C79">
        <v>142732</v>
      </c>
      <c r="D79">
        <f t="shared" si="3"/>
        <v>0.81073209114367872</v>
      </c>
      <c r="H79">
        <f t="shared" si="4"/>
        <v>2.2560536024765813E-3</v>
      </c>
      <c r="I79">
        <f t="shared" si="5"/>
        <v>0.81073209114367872</v>
      </c>
    </row>
    <row r="80" spans="1:9" x14ac:dyDescent="0.6">
      <c r="A80">
        <v>1</v>
      </c>
      <c r="B80">
        <v>-4.1184499999999999E-2</v>
      </c>
      <c r="C80">
        <v>141416</v>
      </c>
      <c r="D80">
        <f t="shared" si="3"/>
        <v>0.78496535044898752</v>
      </c>
      <c r="H80">
        <f t="shared" si="4"/>
        <v>5.9672738948427818E-4</v>
      </c>
      <c r="I80">
        <f t="shared" si="5"/>
        <v>0.78496535044898752</v>
      </c>
    </row>
  </sheetData>
  <sortState xmlns:xlrd2="http://schemas.microsoft.com/office/spreadsheetml/2017/richdata2" ref="A2:D80">
    <sortCondition descending="1" ref="A2:A80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</dc:creator>
  <cp:lastModifiedBy>dlqudgk9@gmail.com</cp:lastModifiedBy>
  <dcterms:created xsi:type="dcterms:W3CDTF">2025-11-20T12:27:24Z</dcterms:created>
  <dcterms:modified xsi:type="dcterms:W3CDTF">2025-11-20T12:45:56Z</dcterms:modified>
</cp:coreProperties>
</file>