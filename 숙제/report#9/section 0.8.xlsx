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9\"/>
    </mc:Choice>
  </mc:AlternateContent>
  <xr:revisionPtr revIDLastSave="0" documentId="13_ncr:1_{287B421A-58FA-4724-9523-18A80F9B88D3}" xr6:coauthVersionLast="47" xr6:coauthVersionMax="47" xr10:uidLastSave="{00000000-0000-0000-0000-000000000000}"/>
  <bookViews>
    <workbookView xWindow="-98" yWindow="-98" windowWidth="21795" windowHeight="12975" xr2:uid="{1D952400-3458-44E8-8E90-21A3C29322D9}"/>
  </bookViews>
  <sheets>
    <sheet name="su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" i="1"/>
  <c r="J42" i="1" l="1"/>
  <c r="J46" i="1"/>
  <c r="J47" i="1"/>
  <c r="J56" i="1"/>
  <c r="J57" i="1"/>
  <c r="J58" i="1"/>
  <c r="J59" i="1"/>
  <c r="J60" i="1"/>
  <c r="J63" i="1"/>
  <c r="G3" i="1"/>
  <c r="G2" i="1"/>
  <c r="H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79" i="1"/>
  <c r="J80" i="1"/>
  <c r="J40" i="1"/>
  <c r="J39" i="1"/>
  <c r="J38" i="1"/>
  <c r="J37" i="1"/>
  <c r="J78" i="1"/>
  <c r="J77" i="1"/>
  <c r="J76" i="1"/>
  <c r="J75" i="1"/>
  <c r="J74" i="1"/>
  <c r="J73" i="1"/>
  <c r="J72" i="1"/>
  <c r="J45" i="1"/>
  <c r="J44" i="1"/>
  <c r="J43" i="1"/>
  <c r="J71" i="1"/>
  <c r="J70" i="1"/>
  <c r="J69" i="1"/>
  <c r="J68" i="1"/>
  <c r="J67" i="1"/>
  <c r="J66" i="1"/>
  <c r="J65" i="1"/>
  <c r="J64" i="1"/>
  <c r="J62" i="1"/>
  <c r="J61" i="1"/>
  <c r="J55" i="1"/>
  <c r="J54" i="1"/>
  <c r="J53" i="1"/>
  <c r="J52" i="1"/>
  <c r="J51" i="1"/>
  <c r="J50" i="1"/>
  <c r="J49" i="1"/>
  <c r="J48" i="1"/>
  <c r="J2" i="1"/>
  <c r="I22" i="1" l="1"/>
  <c r="I68" i="1"/>
  <c r="I3" i="1"/>
  <c r="I26" i="1"/>
  <c r="I7" i="1"/>
  <c r="I75" i="1"/>
  <c r="I9" i="1"/>
  <c r="I32" i="1"/>
  <c r="I33" i="1"/>
  <c r="I34" i="1"/>
  <c r="I23" i="1"/>
  <c r="I25" i="1"/>
  <c r="I28" i="1"/>
  <c r="I52" i="1"/>
  <c r="I55" i="1"/>
  <c r="I45" i="1"/>
  <c r="I47" i="1"/>
  <c r="I49" i="1"/>
  <c r="I27" i="1"/>
  <c r="I53" i="1"/>
  <c r="I76" i="1"/>
  <c r="I77" i="1"/>
  <c r="I56" i="1"/>
  <c r="I12" i="1"/>
  <c r="I67" i="1"/>
  <c r="I70" i="1"/>
  <c r="I71" i="1"/>
  <c r="I72" i="1"/>
  <c r="I73" i="1"/>
  <c r="I74" i="1"/>
  <c r="I30" i="1"/>
  <c r="I54" i="1"/>
  <c r="I11" i="1"/>
  <c r="I57" i="1"/>
  <c r="I50" i="1"/>
  <c r="I51" i="1"/>
  <c r="I31" i="1"/>
  <c r="I10" i="1"/>
  <c r="I46" i="1"/>
  <c r="I69" i="1"/>
  <c r="I48" i="1"/>
  <c r="I4" i="1"/>
  <c r="I5" i="1"/>
  <c r="I6" i="1"/>
  <c r="I29" i="1"/>
  <c r="I8" i="1"/>
  <c r="I78" i="1"/>
  <c r="I79" i="1"/>
  <c r="I24" i="1"/>
  <c r="I13" i="1"/>
  <c r="I66" i="1"/>
  <c r="I44" i="1"/>
  <c r="I21" i="1"/>
  <c r="I65" i="1"/>
  <c r="I43" i="1"/>
  <c r="I20" i="1"/>
  <c r="I64" i="1"/>
  <c r="I40" i="1"/>
  <c r="I62" i="1"/>
  <c r="I39" i="1"/>
  <c r="I17" i="1"/>
  <c r="I42" i="1"/>
  <c r="I63" i="1"/>
  <c r="I18" i="1"/>
  <c r="I61" i="1"/>
  <c r="I16" i="1"/>
  <c r="I60" i="1"/>
  <c r="I37" i="1"/>
  <c r="I15" i="1"/>
  <c r="I2" i="1"/>
  <c r="I59" i="1"/>
  <c r="I36" i="1"/>
  <c r="I14" i="1"/>
  <c r="I19" i="1"/>
  <c r="I38" i="1"/>
  <c r="I80" i="1"/>
  <c r="I58" i="1"/>
  <c r="I35" i="1"/>
</calcChain>
</file>

<file path=xl/sharedStrings.xml><?xml version="1.0" encoding="utf-8"?>
<sst xmlns="http://schemas.openxmlformats.org/spreadsheetml/2006/main" count="4" uniqueCount="4">
  <si>
    <t>Points_1</t>
  </si>
  <si>
    <t>Pressure</t>
  </si>
  <si>
    <t>x/c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</si>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</sst>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0.8</a:t>
            </a:r>
            <a:endParaRPr lang="ko-KR" altLang="en-US"/>
          </a:p>
        </c:rich>
      </c:tx>
      <c:layout>
        <c:manualLayout>
          <c:xMode val="edge"/>
          <c:yMode val="edge"/>
          <c:x val="0.40949300087489071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1346055701370662"/>
          <c:w val="0.8825717410323709"/>
          <c:h val="0.86111111111111116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'su2'!$I$2:$I$81</c:f>
              <c:numCache>
                <c:formatCode>General</c:formatCode>
                <c:ptCount val="80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'su2'!$J$2:$J$81</c:f>
              <c:numCache>
                <c:formatCode>General</c:formatCode>
                <c:ptCount val="80"/>
                <c:pt idx="0">
                  <c:v>1.1481746961124712</c:v>
                </c:pt>
                <c:pt idx="1">
                  <c:v>0.60243574246983556</c:v>
                </c:pt>
                <c:pt idx="2">
                  <c:v>0.2743077515252042</c:v>
                </c:pt>
                <c:pt idx="3">
                  <c:v>0.50644528873246064</c:v>
                </c:pt>
                <c:pt idx="4">
                  <c:v>0.17676396110763212</c:v>
                </c:pt>
                <c:pt idx="5">
                  <c:v>0.20098450712107821</c:v>
                </c:pt>
                <c:pt idx="6">
                  <c:v>0.170349255928299</c:v>
                </c:pt>
                <c:pt idx="7">
                  <c:v>9.6249343184074382E-2</c:v>
                </c:pt>
                <c:pt idx="8">
                  <c:v>8.3304870849097254E-2</c:v>
                </c:pt>
                <c:pt idx="9">
                  <c:v>2.8420308148794225E-2</c:v>
                </c:pt>
                <c:pt idx="10">
                  <c:v>2.8190184196172411E-3</c:v>
                </c:pt>
                <c:pt idx="11">
                  <c:v>-2.6004006646265163E-2</c:v>
                </c:pt>
                <c:pt idx="12">
                  <c:v>-6.2096072065589085E-2</c:v>
                </c:pt>
                <c:pt idx="13">
                  <c:v>-8.9733958775469219E-2</c:v>
                </c:pt>
                <c:pt idx="14">
                  <c:v>-0.12189953425318341</c:v>
                </c:pt>
                <c:pt idx="15">
                  <c:v>-0.15723219062885552</c:v>
                </c:pt>
                <c:pt idx="16">
                  <c:v>-0.19006512556917288</c:v>
                </c:pt>
                <c:pt idx="17">
                  <c:v>-0.22279738128021864</c:v>
                </c:pt>
                <c:pt idx="18">
                  <c:v>-0.24942272259856244</c:v>
                </c:pt>
                <c:pt idx="19">
                  <c:v>-0.28211183006849161</c:v>
                </c:pt>
                <c:pt idx="20">
                  <c:v>-0.30488547172982794</c:v>
                </c:pt>
                <c:pt idx="21">
                  <c:v>-0.33006390869606245</c:v>
                </c:pt>
                <c:pt idx="22">
                  <c:v>-0.3348821289540817</c:v>
                </c:pt>
                <c:pt idx="23">
                  <c:v>-0.3307312681586656</c:v>
                </c:pt>
                <c:pt idx="24">
                  <c:v>-0.33270170450298991</c:v>
                </c:pt>
                <c:pt idx="25">
                  <c:v>-0.29495274662478876</c:v>
                </c:pt>
                <c:pt idx="26">
                  <c:v>-0.24882440032174605</c:v>
                </c:pt>
                <c:pt idx="27">
                  <c:v>-0.25787690130800667</c:v>
                </c:pt>
                <c:pt idx="28">
                  <c:v>-0.15519559364815236</c:v>
                </c:pt>
                <c:pt idx="29">
                  <c:v>-6.1730750290802036E-2</c:v>
                </c:pt>
                <c:pt idx="30">
                  <c:v>5.5057155664769382E-2</c:v>
                </c:pt>
                <c:pt idx="31">
                  <c:v>0.12694212536500904</c:v>
                </c:pt>
                <c:pt idx="32">
                  <c:v>0.38827663906115839</c:v>
                </c:pt>
                <c:pt idx="33">
                  <c:v>0.4824548666716364</c:v>
                </c:pt>
                <c:pt idx="34">
                  <c:v>0.70774621628839385</c:v>
                </c:pt>
                <c:pt idx="35">
                  <c:v>0.46214642785276117</c:v>
                </c:pt>
                <c:pt idx="36">
                  <c:v>0.7309599700091195</c:v>
                </c:pt>
                <c:pt idx="37">
                  <c:v>0.72629995996852781</c:v>
                </c:pt>
                <c:pt idx="38">
                  <c:v>0.99997487062402202</c:v>
                </c:pt>
                <c:pt idx="40">
                  <c:v>-4.4218317496281787E-2</c:v>
                </c:pt>
                <c:pt idx="41">
                  <c:v>1.068753166963867</c:v>
                </c:pt>
                <c:pt idx="42">
                  <c:v>0.54326512115195114</c:v>
                </c:pt>
                <c:pt idx="43">
                  <c:v>0.23334568795852101</c:v>
                </c:pt>
                <c:pt idx="44">
                  <c:v>0.43919156357873507</c:v>
                </c:pt>
                <c:pt idx="45">
                  <c:v>0.19054263277086331</c:v>
                </c:pt>
                <c:pt idx="46">
                  <c:v>0.15682947371176734</c:v>
                </c:pt>
                <c:pt idx="47">
                  <c:v>0.16793295442576994</c:v>
                </c:pt>
                <c:pt idx="48">
                  <c:v>7.5653249424421878E-2</c:v>
                </c:pt>
                <c:pt idx="49">
                  <c:v>6.285260455983338E-2</c:v>
                </c:pt>
                <c:pt idx="50">
                  <c:v>1.7115468976247536E-2</c:v>
                </c:pt>
                <c:pt idx="51">
                  <c:v>-2.338634668519201E-2</c:v>
                </c:pt>
                <c:pt idx="52">
                  <c:v>-5.2554557680007136E-2</c:v>
                </c:pt>
                <c:pt idx="53">
                  <c:v>-9.6588776014191635E-2</c:v>
                </c:pt>
                <c:pt idx="54">
                  <c:v>-0.14399431025428566</c:v>
                </c:pt>
                <c:pt idx="55">
                  <c:v>-0.18407614970219022</c:v>
                </c:pt>
                <c:pt idx="56">
                  <c:v>-0.23142990605294425</c:v>
                </c:pt>
                <c:pt idx="57">
                  <c:v>-0.28075409874802298</c:v>
                </c:pt>
                <c:pt idx="58">
                  <c:v>-0.33788524653579621</c:v>
                </c:pt>
                <c:pt idx="59">
                  <c:v>-0.40002159029309436</c:v>
                </c:pt>
                <c:pt idx="60">
                  <c:v>-0.46158837726765345</c:v>
                </c:pt>
                <c:pt idx="61">
                  <c:v>-0.52869539840158253</c:v>
                </c:pt>
                <c:pt idx="62">
                  <c:v>-0.59028519777140387</c:v>
                </c:pt>
                <c:pt idx="63">
                  <c:v>-0.67149306410223453</c:v>
                </c:pt>
                <c:pt idx="64">
                  <c:v>-0.74165785725662603</c:v>
                </c:pt>
                <c:pt idx="65">
                  <c:v>-0.83099197566441496</c:v>
                </c:pt>
                <c:pt idx="66">
                  <c:v>-0.84720420812662212</c:v>
                </c:pt>
                <c:pt idx="67">
                  <c:v>-0.88514014171632804</c:v>
                </c:pt>
                <c:pt idx="68">
                  <c:v>-0.86804768513534281</c:v>
                </c:pt>
                <c:pt idx="69">
                  <c:v>-0.84688491114235909</c:v>
                </c:pt>
                <c:pt idx="70">
                  <c:v>-0.86484608564449172</c:v>
                </c:pt>
                <c:pt idx="71">
                  <c:v>-0.68740325887662546</c:v>
                </c:pt>
                <c:pt idx="72">
                  <c:v>-0.53306775350139701</c:v>
                </c:pt>
                <c:pt idx="73">
                  <c:v>-0.37156676355140694</c:v>
                </c:pt>
                <c:pt idx="74">
                  <c:v>-0.12479334295740291</c:v>
                </c:pt>
                <c:pt idx="75">
                  <c:v>5.9659634717205694E-2</c:v>
                </c:pt>
                <c:pt idx="76">
                  <c:v>0.42889351669890885</c:v>
                </c:pt>
                <c:pt idx="77">
                  <c:v>0.86673310205599075</c:v>
                </c:pt>
                <c:pt idx="78">
                  <c:v>0.82815857449775887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90-41D1-B35D-504A71A6D3A5}"/>
            </c:ext>
          </c:extLst>
        </c:ser>
        <c:ser>
          <c:idx val="1"/>
          <c:order val="1"/>
          <c:tx>
            <c:v>ewp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'su2'!$L$3:$L$29</c:f>
              <c:numCache>
                <c:formatCode>General</c:formatCode>
                <c:ptCount val="27"/>
                <c:pt idx="0">
                  <c:v>0</c:v>
                </c:pt>
                <c:pt idx="1">
                  <c:v>0.01</c:v>
                </c:pt>
                <c:pt idx="2">
                  <c:v>0.04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0.24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0.5</c:v>
                </c:pt>
                <c:pt idx="13">
                  <c:v>0.56000000000000005</c:v>
                </c:pt>
                <c:pt idx="14">
                  <c:v>0.65</c:v>
                </c:pt>
                <c:pt idx="15">
                  <c:v>0.76</c:v>
                </c:pt>
                <c:pt idx="16">
                  <c:v>0.9</c:v>
                </c:pt>
                <c:pt idx="18">
                  <c:v>0.01</c:v>
                </c:pt>
                <c:pt idx="19">
                  <c:v>0.02</c:v>
                </c:pt>
                <c:pt idx="20">
                  <c:v>0.11</c:v>
                </c:pt>
                <c:pt idx="21">
                  <c:v>0.14000000000000001</c:v>
                </c:pt>
                <c:pt idx="22">
                  <c:v>0.24</c:v>
                </c:pt>
                <c:pt idx="23">
                  <c:v>0.34</c:v>
                </c:pt>
                <c:pt idx="24">
                  <c:v>0.56999999999999995</c:v>
                </c:pt>
                <c:pt idx="25">
                  <c:v>0.74</c:v>
                </c:pt>
                <c:pt idx="26">
                  <c:v>0.9</c:v>
                </c:pt>
              </c:numCache>
            </c:numRef>
          </c:xVal>
          <c:yVal>
            <c:numRef>
              <c:f>'su2'!$M$3:$M$29</c:f>
              <c:numCache>
                <c:formatCode>General</c:formatCode>
                <c:ptCount val="27"/>
                <c:pt idx="0">
                  <c:v>0.18529999999999999</c:v>
                </c:pt>
                <c:pt idx="1">
                  <c:v>-0.48320000000000002</c:v>
                </c:pt>
                <c:pt idx="2">
                  <c:v>-1.1519999999999999</c:v>
                </c:pt>
                <c:pt idx="3">
                  <c:v>-1.091</c:v>
                </c:pt>
                <c:pt idx="4">
                  <c:v>-1.095</c:v>
                </c:pt>
                <c:pt idx="5">
                  <c:v>-1.1659999999999999</c:v>
                </c:pt>
                <c:pt idx="6">
                  <c:v>-1.17</c:v>
                </c:pt>
                <c:pt idx="7">
                  <c:v>-1.0609999999999999</c:v>
                </c:pt>
                <c:pt idx="8">
                  <c:v>-0.78390000000000004</c:v>
                </c:pt>
                <c:pt idx="9">
                  <c:v>-0.432</c:v>
                </c:pt>
                <c:pt idx="10">
                  <c:v>-0.49990000000000001</c:v>
                </c:pt>
                <c:pt idx="11">
                  <c:v>-0.41620000000000001</c:v>
                </c:pt>
                <c:pt idx="12">
                  <c:v>-0.3236</c:v>
                </c:pt>
                <c:pt idx="13">
                  <c:v>-0.2586</c:v>
                </c:pt>
                <c:pt idx="14">
                  <c:v>-0.17460000000000001</c:v>
                </c:pt>
                <c:pt idx="15">
                  <c:v>-7.4759999999999993E-2</c:v>
                </c:pt>
                <c:pt idx="16">
                  <c:v>-8.0210000000000004E-2</c:v>
                </c:pt>
                <c:pt idx="18">
                  <c:v>-0.3175</c:v>
                </c:pt>
                <c:pt idx="19">
                  <c:v>-0.36909999999999998</c:v>
                </c:pt>
                <c:pt idx="20">
                  <c:v>-0.1651</c:v>
                </c:pt>
                <c:pt idx="21">
                  <c:v>-0.2324</c:v>
                </c:pt>
                <c:pt idx="22">
                  <c:v>-0.28620000000000001</c:v>
                </c:pt>
                <c:pt idx="23" formatCode="0.00E+00">
                  <c:v>-0.28620000000000001</c:v>
                </c:pt>
                <c:pt idx="24">
                  <c:v>-0.18010000000000001</c:v>
                </c:pt>
                <c:pt idx="25">
                  <c:v>-6.5570000000000003E-2</c:v>
                </c:pt>
                <c:pt idx="26">
                  <c:v>-6.4449999999999993E-2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90-41D1-B35D-504A71A6D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748703"/>
        <c:axId val="1549749183"/>
      </c:scatterChart>
      <c:valAx>
        <c:axId val="15497487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9749183"/>
        <c:crosses val="autoZero"/>
        <c:crossBetween val="midCat"/>
      </c:valAx>
      <c:valAx>
        <c:axId val="1549749183"/>
        <c:scaling>
          <c:orientation val="minMax"/>
          <c:max val="1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4974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76377952755917"/>
          <c:y val="0.11911964129483812"/>
          <c:w val="0.126791776027996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354806</xdr:colOff>
      <xdr:row>1</xdr:row>
      <xdr:rowOff>38100</xdr:rowOff>
    </xdr:from>
    <xdr:to>
      <xdr:col>20</xdr:col>
      <xdr:colOff>126206</xdr:colOff>
      <xdr:row>13</xdr:row>
      <xdr:rowOff>209550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5CB36B8-111F-C9B4-A97D-3D82D8148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5AC8-4CC7-4D57-BF78-360DDD8F2486}">
  <dimension ref="B1:M80"/>
  <sheetViews>
    <sheetView tabSelected="1" topLeftCell="D1" workbookViewId="0">
      <selection activeCell="Q20" sqref="Q20"/>
    </sheetView>
  </sheetViews>
  <sheetFormatPr defaultRowHeight="16.899999999999999" x14ac:dyDescent="0.6"/>
  <sheetData>
    <row r="1" spans="2:13" x14ac:dyDescent="0.6">
      <c r="C1" t="s">
        <v>0</v>
      </c>
      <c r="D1" t="s">
        <v>1</v>
      </c>
      <c r="I1" t="s">
        <v>2</v>
      </c>
      <c r="J1" t="s">
        <v>3</v>
      </c>
    </row>
    <row r="2" spans="2:13" x14ac:dyDescent="0.6">
      <c r="B2">
        <v>2</v>
      </c>
      <c r="C2">
        <v>0.122784</v>
      </c>
      <c r="D2">
        <v>141240</v>
      </c>
      <c r="E2">
        <f>(D2 - 101325) / (0.5 * 1.225 * (0.91*261.8)^2)</f>
        <v>1.1481746961124712</v>
      </c>
      <c r="G2">
        <f>MAX(C2:C80)</f>
        <v>0.12378400000000001</v>
      </c>
      <c r="H2">
        <f>G2-G3</f>
        <v>0.16506700000000002</v>
      </c>
      <c r="I2">
        <f>(C2-$G$3)/$H$2</f>
        <v>0.99394185391386525</v>
      </c>
      <c r="J2">
        <f>E2</f>
        <v>1.1481746961124712</v>
      </c>
    </row>
    <row r="3" spans="2:13" x14ac:dyDescent="0.6">
      <c r="B3">
        <v>2</v>
      </c>
      <c r="C3">
        <v>0.121572</v>
      </c>
      <c r="D3">
        <v>122268</v>
      </c>
      <c r="E3">
        <f t="shared" ref="E3:E67" si="0">(D3 - 101325) / (0.5 * 1.225 * (0.91*261.8)^2)</f>
        <v>0.60243574246983556</v>
      </c>
      <c r="G3">
        <f>MIN(C2:C80)</f>
        <v>-4.1283E-2</v>
      </c>
      <c r="I3">
        <f t="shared" ref="I3:I67" si="1">(C3-$G$3)/$H$2</f>
        <v>0.9865993808574699</v>
      </c>
      <c r="J3">
        <f t="shared" ref="J3:J67" si="2">E3</f>
        <v>0.60243574246983556</v>
      </c>
      <c r="L3">
        <v>0</v>
      </c>
      <c r="M3">
        <v>0.18529999999999999</v>
      </c>
    </row>
    <row r="4" spans="2:13" x14ac:dyDescent="0.6">
      <c r="B4">
        <v>2</v>
      </c>
      <c r="C4">
        <v>0.12010800000000001</v>
      </c>
      <c r="D4">
        <v>110861</v>
      </c>
      <c r="E4">
        <f t="shared" si="0"/>
        <v>0.2743077515252042</v>
      </c>
      <c r="I4">
        <f t="shared" si="1"/>
        <v>0.97773025498736865</v>
      </c>
      <c r="J4">
        <f t="shared" si="2"/>
        <v>0.2743077515252042</v>
      </c>
      <c r="L4">
        <v>0.01</v>
      </c>
      <c r="M4">
        <v>-0.48320000000000002</v>
      </c>
    </row>
    <row r="5" spans="2:13" x14ac:dyDescent="0.6">
      <c r="B5">
        <v>2</v>
      </c>
      <c r="C5">
        <v>0.118344</v>
      </c>
      <c r="D5">
        <v>118931</v>
      </c>
      <c r="E5">
        <f t="shared" si="0"/>
        <v>0.50644528873246064</v>
      </c>
      <c r="I5">
        <f t="shared" si="1"/>
        <v>0.96704368529142715</v>
      </c>
      <c r="J5">
        <f t="shared" si="2"/>
        <v>0.50644528873246064</v>
      </c>
      <c r="L5">
        <v>0.04</v>
      </c>
      <c r="M5">
        <v>-1.1519999999999999</v>
      </c>
    </row>
    <row r="6" spans="2:13" x14ac:dyDescent="0.6">
      <c r="B6">
        <v>2</v>
      </c>
      <c r="C6">
        <v>0.11623</v>
      </c>
      <c r="D6">
        <v>107470</v>
      </c>
      <c r="E6">
        <f t="shared" si="0"/>
        <v>0.17676396110763212</v>
      </c>
      <c r="I6">
        <f t="shared" si="1"/>
        <v>0.95423676446533834</v>
      </c>
      <c r="J6">
        <f t="shared" si="2"/>
        <v>0.17676396110763212</v>
      </c>
      <c r="L6">
        <v>7.0000000000000007E-2</v>
      </c>
      <c r="M6">
        <v>-1.091</v>
      </c>
    </row>
    <row r="7" spans="2:13" x14ac:dyDescent="0.6">
      <c r="B7">
        <v>2</v>
      </c>
      <c r="C7">
        <v>0.113707</v>
      </c>
      <c r="D7">
        <v>108312</v>
      </c>
      <c r="E7">
        <f t="shared" si="0"/>
        <v>0.20098450712107821</v>
      </c>
      <c r="I7">
        <f t="shared" si="1"/>
        <v>0.93895206189002045</v>
      </c>
      <c r="J7">
        <f t="shared" si="2"/>
        <v>0.20098450712107821</v>
      </c>
      <c r="L7">
        <v>0.09</v>
      </c>
      <c r="M7">
        <v>-1.095</v>
      </c>
    </row>
    <row r="8" spans="2:13" x14ac:dyDescent="0.6">
      <c r="B8">
        <v>2</v>
      </c>
      <c r="C8">
        <v>0.11071300000000001</v>
      </c>
      <c r="D8">
        <v>107247</v>
      </c>
      <c r="E8">
        <f t="shared" si="0"/>
        <v>0.170349255928299</v>
      </c>
      <c r="I8">
        <f t="shared" si="1"/>
        <v>0.92081397250813313</v>
      </c>
      <c r="J8">
        <f t="shared" si="2"/>
        <v>0.170349255928299</v>
      </c>
      <c r="L8">
        <v>0.13</v>
      </c>
      <c r="M8">
        <v>-1.1659999999999999</v>
      </c>
    </row>
    <row r="9" spans="2:13" x14ac:dyDescent="0.6">
      <c r="B9">
        <v>2</v>
      </c>
      <c r="C9">
        <v>0.107186</v>
      </c>
      <c r="D9">
        <v>104671</v>
      </c>
      <c r="E9">
        <f t="shared" si="0"/>
        <v>9.6249343184074382E-2</v>
      </c>
      <c r="I9">
        <f t="shared" si="1"/>
        <v>0.8994468912623359</v>
      </c>
      <c r="J9">
        <f t="shared" si="2"/>
        <v>9.6249343184074382E-2</v>
      </c>
      <c r="L9">
        <v>0.17</v>
      </c>
      <c r="M9">
        <v>-1.17</v>
      </c>
    </row>
    <row r="10" spans="2:13" x14ac:dyDescent="0.6">
      <c r="B10">
        <v>2</v>
      </c>
      <c r="C10">
        <v>0.103065</v>
      </c>
      <c r="D10">
        <v>104221</v>
      </c>
      <c r="E10">
        <f t="shared" si="0"/>
        <v>8.3304870849097254E-2</v>
      </c>
      <c r="I10">
        <f t="shared" si="1"/>
        <v>0.87448127124137465</v>
      </c>
      <c r="J10">
        <f t="shared" si="2"/>
        <v>8.3304870849097254E-2</v>
      </c>
      <c r="L10">
        <v>0.21</v>
      </c>
      <c r="M10">
        <v>-1.0609999999999999</v>
      </c>
    </row>
    <row r="11" spans="2:13" x14ac:dyDescent="0.6">
      <c r="B11">
        <v>2</v>
      </c>
      <c r="C11">
        <v>9.8296599999999998E-2</v>
      </c>
      <c r="D11">
        <v>102313</v>
      </c>
      <c r="E11">
        <f t="shared" si="0"/>
        <v>2.8420308148794225E-2</v>
      </c>
      <c r="I11">
        <f t="shared" si="1"/>
        <v>0.84559360744424983</v>
      </c>
      <c r="J11">
        <f t="shared" si="2"/>
        <v>2.8420308148794225E-2</v>
      </c>
      <c r="L11">
        <v>0.24</v>
      </c>
      <c r="M11">
        <v>-0.78390000000000004</v>
      </c>
    </row>
    <row r="12" spans="2:13" x14ac:dyDescent="0.6">
      <c r="B12">
        <v>2</v>
      </c>
      <c r="C12">
        <v>9.2838599999999993E-2</v>
      </c>
      <c r="D12">
        <v>101423</v>
      </c>
      <c r="E12">
        <f t="shared" si="0"/>
        <v>2.8190184196172411E-3</v>
      </c>
      <c r="I12">
        <f t="shared" si="1"/>
        <v>0.81252824610612651</v>
      </c>
      <c r="J12">
        <f t="shared" si="2"/>
        <v>2.8190184196172411E-3</v>
      </c>
      <c r="L12">
        <v>0.3</v>
      </c>
      <c r="M12">
        <v>-0.432</v>
      </c>
    </row>
    <row r="13" spans="2:13" x14ac:dyDescent="0.6">
      <c r="B13">
        <v>2</v>
      </c>
      <c r="C13">
        <v>8.6670899999999995E-2</v>
      </c>
      <c r="D13">
        <v>100421</v>
      </c>
      <c r="E13">
        <f t="shared" si="0"/>
        <v>-2.6004006646265163E-2</v>
      </c>
      <c r="I13">
        <f t="shared" si="1"/>
        <v>0.77516341849067349</v>
      </c>
      <c r="J13">
        <f t="shared" si="2"/>
        <v>-2.6004006646265163E-2</v>
      </c>
      <c r="L13">
        <v>0.35</v>
      </c>
      <c r="M13">
        <v>-0.49990000000000001</v>
      </c>
    </row>
    <row r="14" spans="2:13" x14ac:dyDescent="0.6">
      <c r="B14">
        <v>2</v>
      </c>
      <c r="C14">
        <v>7.9800399999999994E-2</v>
      </c>
      <c r="D14">
        <v>99166.3</v>
      </c>
      <c r="E14">
        <f t="shared" si="0"/>
        <v>-6.2096072065589085E-2</v>
      </c>
      <c r="I14">
        <f t="shared" si="1"/>
        <v>0.73354092580588481</v>
      </c>
      <c r="J14">
        <f t="shared" si="2"/>
        <v>-6.2096072065589085E-2</v>
      </c>
      <c r="L14">
        <v>0.42</v>
      </c>
      <c r="M14">
        <v>-0.41620000000000001</v>
      </c>
    </row>
    <row r="15" spans="2:13" x14ac:dyDescent="0.6">
      <c r="B15">
        <v>2</v>
      </c>
      <c r="C15">
        <v>7.2268399999999997E-2</v>
      </c>
      <c r="D15">
        <v>98205.5</v>
      </c>
      <c r="E15">
        <f t="shared" si="0"/>
        <v>-8.9733958775469219E-2</v>
      </c>
      <c r="I15">
        <f t="shared" si="1"/>
        <v>0.6879109694851181</v>
      </c>
      <c r="J15">
        <f t="shared" si="2"/>
        <v>-8.9733958775469219E-2</v>
      </c>
      <c r="L15">
        <v>0.5</v>
      </c>
      <c r="M15">
        <v>-0.3236</v>
      </c>
    </row>
    <row r="16" spans="2:13" x14ac:dyDescent="0.6">
      <c r="B16">
        <v>2</v>
      </c>
      <c r="C16">
        <v>6.4154799999999998E-2</v>
      </c>
      <c r="D16">
        <v>97087.3</v>
      </c>
      <c r="E16">
        <f t="shared" si="0"/>
        <v>-0.12189953425318341</v>
      </c>
      <c r="I16">
        <f t="shared" si="1"/>
        <v>0.63875759540065535</v>
      </c>
      <c r="J16">
        <f t="shared" si="2"/>
        <v>-0.12189953425318341</v>
      </c>
      <c r="L16">
        <v>0.56000000000000005</v>
      </c>
      <c r="M16">
        <v>-0.2586</v>
      </c>
    </row>
    <row r="17" spans="2:13" x14ac:dyDescent="0.6">
      <c r="B17">
        <v>2</v>
      </c>
      <c r="C17">
        <v>5.5578200000000001E-2</v>
      </c>
      <c r="D17">
        <v>95859</v>
      </c>
      <c r="E17">
        <f t="shared" si="0"/>
        <v>-0.15723219062885552</v>
      </c>
      <c r="I17">
        <f t="shared" si="1"/>
        <v>0.58679929967831246</v>
      </c>
      <c r="J17">
        <f t="shared" si="2"/>
        <v>-0.15723219062885552</v>
      </c>
      <c r="L17">
        <v>0.65</v>
      </c>
      <c r="M17">
        <v>-0.17460000000000001</v>
      </c>
    </row>
    <row r="18" spans="2:13" x14ac:dyDescent="0.6">
      <c r="B18">
        <v>2</v>
      </c>
      <c r="C18">
        <v>4.6691799999999999E-2</v>
      </c>
      <c r="D18">
        <v>94717.6</v>
      </c>
      <c r="E18">
        <f t="shared" si="0"/>
        <v>-0.19006512556917288</v>
      </c>
      <c r="I18">
        <f t="shared" si="1"/>
        <v>0.53296419029848474</v>
      </c>
      <c r="J18">
        <f t="shared" si="2"/>
        <v>-0.19006512556917288</v>
      </c>
      <c r="L18">
        <v>0.76</v>
      </c>
      <c r="M18">
        <v>-7.4759999999999993E-2</v>
      </c>
    </row>
    <row r="19" spans="2:13" x14ac:dyDescent="0.6">
      <c r="B19">
        <v>2</v>
      </c>
      <c r="C19">
        <v>3.76738E-2</v>
      </c>
      <c r="D19">
        <v>93579.7</v>
      </c>
      <c r="E19">
        <f t="shared" si="0"/>
        <v>-0.22279738128021864</v>
      </c>
      <c r="I19">
        <f t="shared" si="1"/>
        <v>0.47833182889372183</v>
      </c>
      <c r="J19">
        <f t="shared" si="2"/>
        <v>-0.22279738128021864</v>
      </c>
      <c r="L19">
        <v>0.9</v>
      </c>
      <c r="M19">
        <v>-8.0210000000000004E-2</v>
      </c>
    </row>
    <row r="20" spans="2:13" x14ac:dyDescent="0.6">
      <c r="B20">
        <v>2</v>
      </c>
      <c r="C20">
        <v>2.8714E-2</v>
      </c>
      <c r="D20">
        <v>92654.1</v>
      </c>
      <c r="E20">
        <f t="shared" si="0"/>
        <v>-0.24942272259856244</v>
      </c>
      <c r="I20">
        <f t="shared" si="1"/>
        <v>0.42405205159117204</v>
      </c>
      <c r="J20">
        <f t="shared" si="2"/>
        <v>-0.24942272259856244</v>
      </c>
    </row>
    <row r="21" spans="2:13" x14ac:dyDescent="0.6">
      <c r="B21">
        <v>2</v>
      </c>
      <c r="C21">
        <v>1.9998499999999999E-2</v>
      </c>
      <c r="D21">
        <v>91517.7</v>
      </c>
      <c r="E21">
        <f t="shared" si="0"/>
        <v>-0.28211183006849161</v>
      </c>
      <c r="I21">
        <f t="shared" si="1"/>
        <v>0.37125227937746486</v>
      </c>
      <c r="J21">
        <f t="shared" si="2"/>
        <v>-0.28211183006849161</v>
      </c>
      <c r="L21">
        <v>0.01</v>
      </c>
      <c r="M21">
        <v>-0.3175</v>
      </c>
    </row>
    <row r="22" spans="2:13" x14ac:dyDescent="0.6">
      <c r="B22">
        <v>2</v>
      </c>
      <c r="C22">
        <v>1.1694700000000001E-2</v>
      </c>
      <c r="D22">
        <v>90726</v>
      </c>
      <c r="E22">
        <f t="shared" si="0"/>
        <v>-0.30488547172982794</v>
      </c>
      <c r="I22">
        <f t="shared" si="1"/>
        <v>0.32094664590741939</v>
      </c>
      <c r="J22">
        <f t="shared" si="2"/>
        <v>-0.30488547172982794</v>
      </c>
      <c r="L22">
        <v>0.02</v>
      </c>
      <c r="M22">
        <v>-0.36909999999999998</v>
      </c>
    </row>
    <row r="23" spans="2:13" x14ac:dyDescent="0.6">
      <c r="B23">
        <v>2</v>
      </c>
      <c r="C23">
        <v>3.9396300000000004E-3</v>
      </c>
      <c r="D23">
        <v>89850.7</v>
      </c>
      <c r="E23">
        <f t="shared" si="0"/>
        <v>-0.33006390869606245</v>
      </c>
      <c r="I23">
        <f t="shared" si="1"/>
        <v>0.27396529893921856</v>
      </c>
      <c r="J23">
        <f t="shared" si="2"/>
        <v>-0.33006390869606245</v>
      </c>
      <c r="L23">
        <v>0.11</v>
      </c>
      <c r="M23">
        <v>-0.1651</v>
      </c>
    </row>
    <row r="24" spans="2:13" x14ac:dyDescent="0.6">
      <c r="B24">
        <v>2</v>
      </c>
      <c r="C24">
        <v>-3.1673000000000001E-3</v>
      </c>
      <c r="D24">
        <v>89683.199999999997</v>
      </c>
      <c r="E24">
        <f t="shared" si="0"/>
        <v>-0.3348821289540817</v>
      </c>
      <c r="I24">
        <f t="shared" si="1"/>
        <v>0.23091047877528517</v>
      </c>
      <c r="J24">
        <f t="shared" si="2"/>
        <v>-0.3348821289540817</v>
      </c>
      <c r="L24">
        <v>0.14000000000000001</v>
      </c>
      <c r="M24">
        <v>-0.2324</v>
      </c>
    </row>
    <row r="25" spans="2:13" x14ac:dyDescent="0.6">
      <c r="B25">
        <v>2</v>
      </c>
      <c r="C25">
        <v>-9.5662899999999999E-3</v>
      </c>
      <c r="D25">
        <v>89827.5</v>
      </c>
      <c r="E25">
        <f t="shared" si="0"/>
        <v>-0.3307312681586656</v>
      </c>
      <c r="I25">
        <f t="shared" si="1"/>
        <v>0.19214446255156997</v>
      </c>
      <c r="J25">
        <f t="shared" si="2"/>
        <v>-0.3307312681586656</v>
      </c>
      <c r="L25">
        <v>0.24</v>
      </c>
      <c r="M25">
        <v>-0.28620000000000001</v>
      </c>
    </row>
    <row r="26" spans="2:13" x14ac:dyDescent="0.6">
      <c r="B26">
        <v>2</v>
      </c>
      <c r="C26">
        <v>-1.52348E-2</v>
      </c>
      <c r="D26">
        <v>89759</v>
      </c>
      <c r="E26">
        <f t="shared" si="0"/>
        <v>-0.33270170450298991</v>
      </c>
      <c r="I26">
        <f t="shared" si="1"/>
        <v>0.15780380088085444</v>
      </c>
      <c r="J26">
        <f t="shared" si="2"/>
        <v>-0.33270170450298991</v>
      </c>
      <c r="L26">
        <v>0.34</v>
      </c>
      <c r="M26" s="1">
        <v>-0.28620000000000001</v>
      </c>
    </row>
    <row r="27" spans="2:13" x14ac:dyDescent="0.6">
      <c r="B27">
        <v>2</v>
      </c>
      <c r="C27">
        <v>-2.0181899999999999E-2</v>
      </c>
      <c r="D27">
        <v>91071.3</v>
      </c>
      <c r="E27">
        <f t="shared" si="0"/>
        <v>-0.29495274662478876</v>
      </c>
      <c r="I27">
        <f t="shared" si="1"/>
        <v>0.12783354637813735</v>
      </c>
      <c r="J27">
        <f t="shared" si="2"/>
        <v>-0.29495274662478876</v>
      </c>
      <c r="L27">
        <v>0.56999999999999995</v>
      </c>
      <c r="M27">
        <v>-0.18010000000000001</v>
      </c>
    </row>
    <row r="28" spans="2:13" x14ac:dyDescent="0.6">
      <c r="B28">
        <v>2</v>
      </c>
      <c r="C28">
        <v>-2.44406E-2</v>
      </c>
      <c r="D28">
        <v>92674.9</v>
      </c>
      <c r="E28">
        <f t="shared" si="0"/>
        <v>-0.24882440032174605</v>
      </c>
      <c r="I28">
        <f t="shared" si="1"/>
        <v>0.10203371964111542</v>
      </c>
      <c r="J28">
        <f t="shared" si="2"/>
        <v>-0.24882440032174605</v>
      </c>
      <c r="L28">
        <v>0.74</v>
      </c>
      <c r="M28">
        <v>-6.5570000000000003E-2</v>
      </c>
    </row>
    <row r="29" spans="2:13" x14ac:dyDescent="0.6">
      <c r="B29">
        <v>2</v>
      </c>
      <c r="C29">
        <v>-2.8060600000000002E-2</v>
      </c>
      <c r="D29">
        <v>92360.2</v>
      </c>
      <c r="E29">
        <f t="shared" si="0"/>
        <v>-0.25787690130800667</v>
      </c>
      <c r="I29">
        <f t="shared" si="1"/>
        <v>8.0103230809307716E-2</v>
      </c>
      <c r="J29">
        <f t="shared" si="2"/>
        <v>-0.25787690130800667</v>
      </c>
      <c r="L29">
        <v>0.9</v>
      </c>
      <c r="M29">
        <v>-6.4449999999999993E-2</v>
      </c>
    </row>
    <row r="30" spans="2:13" x14ac:dyDescent="0.6">
      <c r="B30">
        <v>2</v>
      </c>
      <c r="C30">
        <v>-3.1100800000000001E-2</v>
      </c>
      <c r="D30">
        <v>95929.8</v>
      </c>
      <c r="E30">
        <f t="shared" si="0"/>
        <v>-0.15519559364815236</v>
      </c>
      <c r="I30">
        <f t="shared" si="1"/>
        <v>6.1685255078240943E-2</v>
      </c>
      <c r="J30">
        <f t="shared" si="2"/>
        <v>-0.15519559364815236</v>
      </c>
    </row>
    <row r="31" spans="2:13" x14ac:dyDescent="0.6">
      <c r="B31">
        <v>2</v>
      </c>
      <c r="C31">
        <v>-3.3623399999999998E-2</v>
      </c>
      <c r="D31">
        <v>99179</v>
      </c>
      <c r="E31">
        <f t="shared" si="0"/>
        <v>-6.1730750290802036E-2</v>
      </c>
      <c r="I31">
        <f t="shared" si="1"/>
        <v>4.6402975761357518E-2</v>
      </c>
      <c r="J31">
        <f t="shared" si="2"/>
        <v>-6.1730750290802036E-2</v>
      </c>
    </row>
    <row r="32" spans="2:13" x14ac:dyDescent="0.6">
      <c r="B32">
        <v>2</v>
      </c>
      <c r="C32">
        <v>-3.5689600000000002E-2</v>
      </c>
      <c r="D32">
        <v>103239</v>
      </c>
      <c r="E32">
        <f t="shared" si="0"/>
        <v>5.5057155664769382E-2</v>
      </c>
      <c r="I32">
        <f t="shared" si="1"/>
        <v>3.3885634318185934E-2</v>
      </c>
      <c r="J32">
        <f t="shared" si="2"/>
        <v>5.5057155664769382E-2</v>
      </c>
    </row>
    <row r="33" spans="2:10" x14ac:dyDescent="0.6">
      <c r="B33">
        <v>2</v>
      </c>
      <c r="C33">
        <v>-3.7356300000000002E-2</v>
      </c>
      <c r="D33">
        <v>105738</v>
      </c>
      <c r="E33">
        <f t="shared" si="0"/>
        <v>0.12694212536500904</v>
      </c>
      <c r="I33">
        <f t="shared" si="1"/>
        <v>2.3788522236425195E-2</v>
      </c>
      <c r="J33">
        <f t="shared" si="2"/>
        <v>0.12694212536500904</v>
      </c>
    </row>
    <row r="34" spans="2:10" x14ac:dyDescent="0.6">
      <c r="B34">
        <v>2</v>
      </c>
      <c r="C34">
        <v>-3.86735E-2</v>
      </c>
      <c r="D34">
        <v>114823</v>
      </c>
      <c r="E34">
        <f t="shared" si="0"/>
        <v>0.38827663906115839</v>
      </c>
      <c r="I34">
        <f t="shared" si="1"/>
        <v>1.5808732211768557E-2</v>
      </c>
      <c r="J34">
        <f t="shared" si="2"/>
        <v>0.38827663906115839</v>
      </c>
    </row>
    <row r="35" spans="2:10" x14ac:dyDescent="0.6">
      <c r="B35">
        <v>2</v>
      </c>
      <c r="C35">
        <v>-3.9683499999999997E-2</v>
      </c>
      <c r="D35">
        <v>118097</v>
      </c>
      <c r="E35">
        <f t="shared" si="0"/>
        <v>0.4824548666716364</v>
      </c>
      <c r="I35">
        <f t="shared" si="1"/>
        <v>9.6900046647725082E-3</v>
      </c>
      <c r="J35">
        <f t="shared" si="2"/>
        <v>0.4824548666716364</v>
      </c>
    </row>
    <row r="36" spans="2:10" x14ac:dyDescent="0.6">
      <c r="B36">
        <v>2</v>
      </c>
      <c r="C36">
        <v>-4.0419900000000002E-2</v>
      </c>
      <c r="D36">
        <v>125929</v>
      </c>
      <c r="E36">
        <f t="shared" si="0"/>
        <v>0.70774621628839385</v>
      </c>
      <c r="I36">
        <f t="shared" si="1"/>
        <v>5.2287858869428687E-3</v>
      </c>
      <c r="J36">
        <f t="shared" si="2"/>
        <v>0.70774621628839385</v>
      </c>
    </row>
    <row r="37" spans="2:10" x14ac:dyDescent="0.6">
      <c r="B37">
        <v>2</v>
      </c>
      <c r="C37">
        <v>-4.0884499999999997E-2</v>
      </c>
      <c r="D37">
        <v>117391</v>
      </c>
      <c r="E37">
        <f t="shared" si="0"/>
        <v>0.46214642785276117</v>
      </c>
      <c r="I37">
        <f t="shared" si="1"/>
        <v>2.4141712153247044E-3</v>
      </c>
      <c r="J37">
        <f t="shared" si="2"/>
        <v>0.46214642785276117</v>
      </c>
    </row>
    <row r="38" spans="2:10" x14ac:dyDescent="0.6">
      <c r="B38">
        <v>2</v>
      </c>
      <c r="C38">
        <v>-4.1144699999999999E-2</v>
      </c>
      <c r="D38">
        <v>126736</v>
      </c>
      <c r="E38">
        <f t="shared" si="0"/>
        <v>0.7309599700091195</v>
      </c>
      <c r="I38">
        <f t="shared" si="1"/>
        <v>8.3784160371243744E-4</v>
      </c>
      <c r="J38">
        <f t="shared" si="2"/>
        <v>0.7309599700091195</v>
      </c>
    </row>
    <row r="39" spans="2:10" x14ac:dyDescent="0.6">
      <c r="B39">
        <v>2</v>
      </c>
      <c r="C39">
        <v>-4.1261199999999998E-2</v>
      </c>
      <c r="D39">
        <v>126574</v>
      </c>
      <c r="E39">
        <f t="shared" si="0"/>
        <v>0.72629995996852781</v>
      </c>
      <c r="I39">
        <f t="shared" si="1"/>
        <v>1.3206758467775129E-4</v>
      </c>
      <c r="J39">
        <f t="shared" si="2"/>
        <v>0.72629995996852781</v>
      </c>
    </row>
    <row r="40" spans="2:10" x14ac:dyDescent="0.6">
      <c r="B40">
        <v>2</v>
      </c>
      <c r="C40">
        <v>-4.1283E-2</v>
      </c>
      <c r="D40">
        <v>136088</v>
      </c>
      <c r="E40">
        <f t="shared" si="0"/>
        <v>0.99997487062402202</v>
      </c>
      <c r="I40">
        <f t="shared" si="1"/>
        <v>0</v>
      </c>
      <c r="J40">
        <f t="shared" si="2"/>
        <v>0.99997487062402202</v>
      </c>
    </row>
    <row r="42" spans="2:10" x14ac:dyDescent="0.6">
      <c r="B42">
        <v>1</v>
      </c>
      <c r="C42">
        <v>0.12378400000000001</v>
      </c>
      <c r="D42">
        <v>99787.8</v>
      </c>
      <c r="E42">
        <f t="shared" si="0"/>
        <v>-4.4218317496281787E-2</v>
      </c>
      <c r="I42">
        <f t="shared" si="1"/>
        <v>1</v>
      </c>
      <c r="J42">
        <f t="shared" si="2"/>
        <v>-4.4218317496281787E-2</v>
      </c>
    </row>
    <row r="43" spans="2:10" x14ac:dyDescent="0.6">
      <c r="B43">
        <v>1</v>
      </c>
      <c r="C43">
        <v>0.122822</v>
      </c>
      <c r="D43">
        <v>138479</v>
      </c>
      <c r="E43">
        <f t="shared" si="0"/>
        <v>1.068753166963867</v>
      </c>
      <c r="I43">
        <f t="shared" si="1"/>
        <v>0.99417206346513831</v>
      </c>
      <c r="J43">
        <f t="shared" si="2"/>
        <v>1.068753166963867</v>
      </c>
    </row>
    <row r="44" spans="2:10" x14ac:dyDescent="0.6">
      <c r="B44">
        <v>1</v>
      </c>
      <c r="C44">
        <v>0.121658</v>
      </c>
      <c r="D44">
        <v>120211</v>
      </c>
      <c r="E44">
        <f t="shared" si="0"/>
        <v>0.54326512115195114</v>
      </c>
      <c r="I44">
        <f t="shared" si="1"/>
        <v>0.98712038142087744</v>
      </c>
      <c r="J44">
        <f t="shared" si="2"/>
        <v>0.54326512115195114</v>
      </c>
    </row>
    <row r="45" spans="2:10" x14ac:dyDescent="0.6">
      <c r="B45">
        <v>1</v>
      </c>
      <c r="C45">
        <v>0.12024899999999999</v>
      </c>
      <c r="D45">
        <v>109437</v>
      </c>
      <c r="E45">
        <f t="shared" si="0"/>
        <v>0.23334568795852101</v>
      </c>
      <c r="I45">
        <f t="shared" si="1"/>
        <v>0.97858445358551371</v>
      </c>
      <c r="J45">
        <f t="shared" si="2"/>
        <v>0.23334568795852101</v>
      </c>
    </row>
    <row r="46" spans="2:10" x14ac:dyDescent="0.6">
      <c r="B46">
        <v>1</v>
      </c>
      <c r="C46">
        <v>0.11855300000000001</v>
      </c>
      <c r="D46">
        <v>116593</v>
      </c>
      <c r="E46">
        <f t="shared" si="0"/>
        <v>0.43919156357873507</v>
      </c>
      <c r="I46">
        <f t="shared" si="1"/>
        <v>0.96830983782342916</v>
      </c>
      <c r="J46">
        <f t="shared" si="2"/>
        <v>0.43919156357873507</v>
      </c>
    </row>
    <row r="47" spans="2:10" x14ac:dyDescent="0.6">
      <c r="B47">
        <v>1</v>
      </c>
      <c r="C47">
        <v>0.116517</v>
      </c>
      <c r="D47">
        <v>107949</v>
      </c>
      <c r="E47">
        <f t="shared" si="0"/>
        <v>0.19054263277086331</v>
      </c>
      <c r="I47">
        <f t="shared" si="1"/>
        <v>0.95597545239205883</v>
      </c>
      <c r="J47">
        <f t="shared" si="2"/>
        <v>0.19054263277086331</v>
      </c>
    </row>
    <row r="48" spans="2:10" x14ac:dyDescent="0.6">
      <c r="B48">
        <v>1</v>
      </c>
      <c r="C48">
        <v>0.11408699999999999</v>
      </c>
      <c r="D48">
        <v>106777</v>
      </c>
      <c r="E48">
        <f t="shared" si="0"/>
        <v>0.15682947371176734</v>
      </c>
      <c r="I48">
        <f t="shared" si="1"/>
        <v>0.94125415740275153</v>
      </c>
      <c r="J48">
        <f t="shared" si="2"/>
        <v>0.15682947371176734</v>
      </c>
    </row>
    <row r="49" spans="2:10" x14ac:dyDescent="0.6">
      <c r="B49">
        <v>1</v>
      </c>
      <c r="C49">
        <v>0.11120099999999999</v>
      </c>
      <c r="D49">
        <v>107163</v>
      </c>
      <c r="E49">
        <f t="shared" si="0"/>
        <v>0.16793295442576994</v>
      </c>
      <c r="I49">
        <f t="shared" si="1"/>
        <v>0.9237703477981668</v>
      </c>
      <c r="J49">
        <f t="shared" si="2"/>
        <v>0.16793295442576994</v>
      </c>
    </row>
    <row r="50" spans="2:10" x14ac:dyDescent="0.6">
      <c r="B50">
        <v>1</v>
      </c>
      <c r="C50">
        <v>0.107798</v>
      </c>
      <c r="D50">
        <v>103955</v>
      </c>
      <c r="E50">
        <f t="shared" si="0"/>
        <v>7.5653249424421878E-2</v>
      </c>
      <c r="I50">
        <f t="shared" si="1"/>
        <v>0.9031544766670504</v>
      </c>
      <c r="J50">
        <f t="shared" si="2"/>
        <v>7.5653249424421878E-2</v>
      </c>
    </row>
    <row r="51" spans="2:10" x14ac:dyDescent="0.6">
      <c r="B51">
        <v>1</v>
      </c>
      <c r="C51">
        <v>0.10381899999999999</v>
      </c>
      <c r="D51">
        <v>103510</v>
      </c>
      <c r="E51">
        <f t="shared" si="0"/>
        <v>6.285260455983338E-2</v>
      </c>
      <c r="I51">
        <f t="shared" si="1"/>
        <v>0.87904911339032021</v>
      </c>
      <c r="J51">
        <f t="shared" si="2"/>
        <v>6.285260455983338E-2</v>
      </c>
    </row>
    <row r="52" spans="2:10" x14ac:dyDescent="0.6">
      <c r="B52">
        <v>1</v>
      </c>
      <c r="C52">
        <v>9.9208299999999999E-2</v>
      </c>
      <c r="D52">
        <v>101920</v>
      </c>
      <c r="E52">
        <f t="shared" si="0"/>
        <v>1.7115468976247536E-2</v>
      </c>
      <c r="I52">
        <f t="shared" si="1"/>
        <v>0.85111681923097871</v>
      </c>
      <c r="J52">
        <f t="shared" si="2"/>
        <v>1.7115468976247536E-2</v>
      </c>
    </row>
    <row r="53" spans="2:10" x14ac:dyDescent="0.6">
      <c r="B53">
        <v>1</v>
      </c>
      <c r="C53">
        <v>9.3925599999999998E-2</v>
      </c>
      <c r="D53">
        <v>100512</v>
      </c>
      <c r="E53">
        <f t="shared" si="0"/>
        <v>-2.338634668519201E-2</v>
      </c>
      <c r="I53">
        <f t="shared" si="1"/>
        <v>0.81911345090175502</v>
      </c>
      <c r="J53">
        <f t="shared" si="2"/>
        <v>-2.338634668519201E-2</v>
      </c>
    </row>
    <row r="54" spans="2:10" x14ac:dyDescent="0.6">
      <c r="B54">
        <v>1</v>
      </c>
      <c r="C54">
        <v>8.7947899999999996E-2</v>
      </c>
      <c r="D54">
        <v>99498</v>
      </c>
      <c r="E54">
        <f t="shared" si="0"/>
        <v>-5.2554557680007136E-2</v>
      </c>
      <c r="I54">
        <f t="shared" si="1"/>
        <v>0.78289967104266733</v>
      </c>
      <c r="J54">
        <f t="shared" si="2"/>
        <v>-5.2554557680007136E-2</v>
      </c>
    </row>
    <row r="55" spans="2:10" x14ac:dyDescent="0.6">
      <c r="B55">
        <v>1</v>
      </c>
      <c r="C55">
        <v>8.1279299999999999E-2</v>
      </c>
      <c r="D55">
        <v>97967.2</v>
      </c>
      <c r="E55">
        <f t="shared" si="0"/>
        <v>-9.6588776014191635E-2</v>
      </c>
      <c r="I55">
        <f t="shared" si="1"/>
        <v>0.74250031805266947</v>
      </c>
      <c r="J55">
        <f t="shared" si="2"/>
        <v>-9.6588776014191635E-2</v>
      </c>
    </row>
    <row r="56" spans="2:10" x14ac:dyDescent="0.6">
      <c r="B56">
        <v>1</v>
      </c>
      <c r="C56">
        <v>7.3956800000000003E-2</v>
      </c>
      <c r="D56">
        <v>96319.2</v>
      </c>
      <c r="E56">
        <f t="shared" si="0"/>
        <v>-0.14399431025428566</v>
      </c>
      <c r="I56">
        <f t="shared" si="1"/>
        <v>0.69813954333694794</v>
      </c>
      <c r="J56">
        <f t="shared" si="2"/>
        <v>-0.14399431025428566</v>
      </c>
    </row>
    <row r="57" spans="2:10" x14ac:dyDescent="0.6">
      <c r="B57">
        <v>1</v>
      </c>
      <c r="C57">
        <v>6.6054000000000002E-2</v>
      </c>
      <c r="D57">
        <v>94925.8</v>
      </c>
      <c r="E57">
        <f t="shared" si="0"/>
        <v>-0.18407614970219022</v>
      </c>
      <c r="I57">
        <f t="shared" si="1"/>
        <v>0.6502632264474425</v>
      </c>
      <c r="J57">
        <f t="shared" si="2"/>
        <v>-0.18407614970219022</v>
      </c>
    </row>
    <row r="58" spans="2:10" x14ac:dyDescent="0.6">
      <c r="B58">
        <v>1</v>
      </c>
      <c r="C58">
        <v>5.7682400000000002E-2</v>
      </c>
      <c r="D58">
        <v>93279.6</v>
      </c>
      <c r="E58">
        <f t="shared" si="0"/>
        <v>-0.23142990605294425</v>
      </c>
      <c r="I58">
        <f t="shared" si="1"/>
        <v>0.59954685067275715</v>
      </c>
      <c r="J58">
        <f t="shared" si="2"/>
        <v>-0.23142990605294425</v>
      </c>
    </row>
    <row r="59" spans="2:10" x14ac:dyDescent="0.6">
      <c r="B59">
        <v>1</v>
      </c>
      <c r="C59">
        <v>4.8986799999999997E-2</v>
      </c>
      <c r="D59">
        <v>91564.9</v>
      </c>
      <c r="E59">
        <f t="shared" si="0"/>
        <v>-0.28075409874802298</v>
      </c>
      <c r="I59">
        <f t="shared" si="1"/>
        <v>0.54686763556616391</v>
      </c>
      <c r="J59">
        <f t="shared" si="2"/>
        <v>-0.28075409874802298</v>
      </c>
    </row>
    <row r="60" spans="2:10" x14ac:dyDescent="0.6">
      <c r="B60">
        <v>1</v>
      </c>
      <c r="C60">
        <v>4.0136400000000003E-2</v>
      </c>
      <c r="D60">
        <v>89578.8</v>
      </c>
      <c r="E60">
        <f t="shared" si="0"/>
        <v>-0.33788524653579621</v>
      </c>
      <c r="I60">
        <f t="shared" si="1"/>
        <v>0.49325061944543724</v>
      </c>
      <c r="J60">
        <f t="shared" si="2"/>
        <v>-0.33788524653579621</v>
      </c>
    </row>
    <row r="61" spans="2:10" x14ac:dyDescent="0.6">
      <c r="B61">
        <v>1</v>
      </c>
      <c r="C61">
        <v>3.1312600000000003E-2</v>
      </c>
      <c r="D61">
        <v>87418.7</v>
      </c>
      <c r="E61">
        <f t="shared" si="0"/>
        <v>-0.40002159029309436</v>
      </c>
      <c r="I61">
        <f t="shared" si="1"/>
        <v>0.43979475001060175</v>
      </c>
      <c r="J61">
        <f t="shared" si="2"/>
        <v>-0.40002159029309436</v>
      </c>
    </row>
    <row r="62" spans="2:10" x14ac:dyDescent="0.6">
      <c r="B62">
        <v>1</v>
      </c>
      <c r="C62">
        <v>2.2694200000000001E-2</v>
      </c>
      <c r="D62">
        <v>85278.399999999994</v>
      </c>
      <c r="E62">
        <f t="shared" si="0"/>
        <v>-0.46158837726765345</v>
      </c>
      <c r="I62">
        <f t="shared" si="1"/>
        <v>0.38758322378185822</v>
      </c>
      <c r="J62">
        <f t="shared" si="2"/>
        <v>-0.46158837726765345</v>
      </c>
    </row>
    <row r="63" spans="2:10" x14ac:dyDescent="0.6">
      <c r="B63">
        <v>1</v>
      </c>
      <c r="C63">
        <v>1.4444E-2</v>
      </c>
      <c r="D63">
        <v>82945.5</v>
      </c>
      <c r="E63">
        <f t="shared" si="0"/>
        <v>-0.52869539840158253</v>
      </c>
      <c r="I63">
        <f t="shared" si="1"/>
        <v>0.33760230694202953</v>
      </c>
      <c r="J63">
        <f t="shared" si="2"/>
        <v>-0.52869539840158253</v>
      </c>
    </row>
    <row r="64" spans="2:10" x14ac:dyDescent="0.6">
      <c r="B64">
        <v>1</v>
      </c>
      <c r="C64">
        <v>6.69683E-3</v>
      </c>
      <c r="D64">
        <v>80804.399999999994</v>
      </c>
      <c r="E64">
        <f t="shared" si="0"/>
        <v>-0.59028519777140387</v>
      </c>
      <c r="I64">
        <f t="shared" si="1"/>
        <v>0.29066881932790922</v>
      </c>
      <c r="J64">
        <f t="shared" si="2"/>
        <v>-0.59028519777140387</v>
      </c>
    </row>
    <row r="65" spans="2:10" x14ac:dyDescent="0.6">
      <c r="B65">
        <v>1</v>
      </c>
      <c r="C65">
        <v>-4.46744E-4</v>
      </c>
      <c r="D65">
        <v>77981.3</v>
      </c>
      <c r="E65">
        <f t="shared" si="0"/>
        <v>-0.67149306410223453</v>
      </c>
      <c r="I65">
        <f t="shared" si="1"/>
        <v>0.2473920044587955</v>
      </c>
      <c r="J65">
        <f t="shared" si="2"/>
        <v>-0.67149306410223453</v>
      </c>
    </row>
    <row r="66" spans="2:10" x14ac:dyDescent="0.6">
      <c r="B66">
        <v>1</v>
      </c>
      <c r="C66">
        <v>-6.92334E-3</v>
      </c>
      <c r="D66">
        <v>75542.100000000006</v>
      </c>
      <c r="E66">
        <f t="shared" si="0"/>
        <v>-0.74165785725662603</v>
      </c>
      <c r="I66">
        <f t="shared" si="1"/>
        <v>0.20815583974991972</v>
      </c>
      <c r="J66">
        <f t="shared" si="2"/>
        <v>-0.74165785725662603</v>
      </c>
    </row>
    <row r="67" spans="2:10" x14ac:dyDescent="0.6">
      <c r="B67">
        <v>1</v>
      </c>
      <c r="C67">
        <v>-1.27049E-2</v>
      </c>
      <c r="D67">
        <v>72436.5</v>
      </c>
      <c r="E67">
        <f t="shared" si="0"/>
        <v>-0.83099197566441496</v>
      </c>
      <c r="I67">
        <f t="shared" si="1"/>
        <v>0.17313030466416665</v>
      </c>
      <c r="J67">
        <f t="shared" si="2"/>
        <v>-0.83099197566441496</v>
      </c>
    </row>
    <row r="68" spans="2:10" x14ac:dyDescent="0.6">
      <c r="B68">
        <v>1</v>
      </c>
      <c r="C68">
        <v>-1.7793699999999999E-2</v>
      </c>
      <c r="D68">
        <v>71872.899999999994</v>
      </c>
      <c r="E68">
        <f t="shared" ref="E68:E80" si="3">(D68 - 101325) / (0.5 * 1.225 * (0.91*261.8)^2)</f>
        <v>-0.84720420812662212</v>
      </c>
      <c r="I68">
        <f t="shared" ref="I68:I80" si="4">(C68-$G$3)/$H$2</f>
        <v>0.14230161086104429</v>
      </c>
      <c r="J68">
        <f t="shared" ref="J68:J80" si="5">E68</f>
        <v>-0.84720420812662212</v>
      </c>
    </row>
    <row r="69" spans="2:10" x14ac:dyDescent="0.6">
      <c r="B69">
        <v>1</v>
      </c>
      <c r="C69">
        <v>-2.2216400000000001E-2</v>
      </c>
      <c r="D69">
        <v>70554.100000000006</v>
      </c>
      <c r="E69">
        <f t="shared" si="3"/>
        <v>-0.88514014171632804</v>
      </c>
      <c r="I69">
        <f t="shared" si="4"/>
        <v>0.11550824816589626</v>
      </c>
      <c r="J69">
        <f t="shared" si="5"/>
        <v>-0.88514014171632804</v>
      </c>
    </row>
    <row r="70" spans="2:10" x14ac:dyDescent="0.6">
      <c r="B70">
        <v>1</v>
      </c>
      <c r="C70">
        <v>-2.6016000000000001E-2</v>
      </c>
      <c r="D70">
        <v>71148.3</v>
      </c>
      <c r="E70">
        <f t="shared" si="3"/>
        <v>-0.86804768513534281</v>
      </c>
      <c r="I70">
        <f t="shared" si="4"/>
        <v>9.248971629701877E-2</v>
      </c>
      <c r="J70">
        <f t="shared" si="5"/>
        <v>-0.86804768513534281</v>
      </c>
    </row>
    <row r="71" spans="2:10" x14ac:dyDescent="0.6">
      <c r="B71">
        <v>1</v>
      </c>
      <c r="C71">
        <v>-2.9246100000000001E-2</v>
      </c>
      <c r="D71">
        <v>71884</v>
      </c>
      <c r="E71">
        <f t="shared" si="3"/>
        <v>-0.84688491114235909</v>
      </c>
      <c r="I71">
        <f t="shared" si="4"/>
        <v>7.2921298624195011E-2</v>
      </c>
      <c r="J71">
        <f t="shared" si="5"/>
        <v>-0.84688491114235909</v>
      </c>
    </row>
    <row r="72" spans="2:10" x14ac:dyDescent="0.6">
      <c r="B72">
        <v>1</v>
      </c>
      <c r="C72">
        <v>-3.1964699999999999E-2</v>
      </c>
      <c r="D72">
        <v>71259.600000000006</v>
      </c>
      <c r="E72">
        <f t="shared" si="3"/>
        <v>-0.86484608564449172</v>
      </c>
      <c r="I72">
        <f t="shared" si="4"/>
        <v>5.6451622674429172E-2</v>
      </c>
      <c r="J72">
        <f t="shared" si="5"/>
        <v>-0.86484608564449172</v>
      </c>
    </row>
    <row r="73" spans="2:10" x14ac:dyDescent="0.6">
      <c r="B73">
        <v>1</v>
      </c>
      <c r="C73">
        <v>-3.4229799999999998E-2</v>
      </c>
      <c r="D73">
        <v>77428.2</v>
      </c>
      <c r="E73">
        <f t="shared" si="3"/>
        <v>-0.68740325887662546</v>
      </c>
      <c r="I73">
        <f t="shared" si="4"/>
        <v>4.2729315974725422E-2</v>
      </c>
      <c r="J73">
        <f t="shared" si="5"/>
        <v>-0.68740325887662546</v>
      </c>
    </row>
    <row r="74" spans="2:10" x14ac:dyDescent="0.6">
      <c r="B74">
        <v>1</v>
      </c>
      <c r="C74">
        <v>-3.6096099999999999E-2</v>
      </c>
      <c r="D74">
        <v>82793.5</v>
      </c>
      <c r="E74">
        <f t="shared" si="3"/>
        <v>-0.53306775350139701</v>
      </c>
      <c r="I74">
        <f t="shared" si="4"/>
        <v>3.1422997934172185E-2</v>
      </c>
      <c r="J74">
        <f t="shared" si="5"/>
        <v>-0.53306775350139701</v>
      </c>
    </row>
    <row r="75" spans="2:10" x14ac:dyDescent="0.6">
      <c r="B75">
        <v>1</v>
      </c>
      <c r="C75">
        <v>-3.7612399999999997E-2</v>
      </c>
      <c r="D75">
        <v>88407.9</v>
      </c>
      <c r="E75">
        <f t="shared" si="3"/>
        <v>-0.37156676355140694</v>
      </c>
      <c r="I75">
        <f t="shared" si="4"/>
        <v>2.2237031023766122E-2</v>
      </c>
      <c r="J75">
        <f t="shared" si="5"/>
        <v>-0.37156676355140694</v>
      </c>
    </row>
    <row r="76" spans="2:10" x14ac:dyDescent="0.6">
      <c r="B76">
        <v>1</v>
      </c>
      <c r="C76">
        <v>-3.8819800000000002E-2</v>
      </c>
      <c r="D76">
        <v>96986.7</v>
      </c>
      <c r="E76">
        <f t="shared" si="3"/>
        <v>-0.12479334295740291</v>
      </c>
      <c r="I76">
        <f t="shared" si="4"/>
        <v>1.4922425439367035E-2</v>
      </c>
      <c r="J76">
        <f t="shared" si="5"/>
        <v>-0.12479334295740291</v>
      </c>
    </row>
    <row r="77" spans="2:10" x14ac:dyDescent="0.6">
      <c r="B77">
        <v>1</v>
      </c>
      <c r="C77">
        <v>-3.9751000000000002E-2</v>
      </c>
      <c r="D77">
        <v>103399</v>
      </c>
      <c r="E77">
        <f t="shared" si="3"/>
        <v>5.9659634717205694E-2</v>
      </c>
      <c r="I77">
        <f t="shared" si="4"/>
        <v>9.2810798039583836E-3</v>
      </c>
      <c r="J77">
        <f t="shared" si="5"/>
        <v>5.9659634717205694E-2</v>
      </c>
    </row>
    <row r="78" spans="2:10" x14ac:dyDescent="0.6">
      <c r="B78">
        <v>1</v>
      </c>
      <c r="C78">
        <v>-4.04312E-2</v>
      </c>
      <c r="D78">
        <v>116235</v>
      </c>
      <c r="E78">
        <f t="shared" si="3"/>
        <v>0.42889351669890885</v>
      </c>
      <c r="I78">
        <f t="shared" si="4"/>
        <v>5.1603288361695534E-3</v>
      </c>
      <c r="J78">
        <f t="shared" si="5"/>
        <v>0.42889351669890885</v>
      </c>
    </row>
    <row r="79" spans="2:10" x14ac:dyDescent="0.6">
      <c r="B79">
        <v>1</v>
      </c>
      <c r="C79">
        <v>-4.0910599999999998E-2</v>
      </c>
      <c r="D79">
        <v>131456</v>
      </c>
      <c r="E79">
        <f t="shared" si="3"/>
        <v>0.86673310205599075</v>
      </c>
      <c r="I79">
        <f t="shared" si="4"/>
        <v>2.2560536024765813E-3</v>
      </c>
      <c r="J79">
        <f t="shared" si="5"/>
        <v>0.86673310205599075</v>
      </c>
    </row>
    <row r="80" spans="2:10" x14ac:dyDescent="0.6">
      <c r="B80">
        <v>1</v>
      </c>
      <c r="C80">
        <v>-4.1184499999999999E-2</v>
      </c>
      <c r="D80">
        <v>130115</v>
      </c>
      <c r="E80">
        <f t="shared" si="3"/>
        <v>0.82815857449775887</v>
      </c>
      <c r="I80">
        <f t="shared" si="4"/>
        <v>5.9672738948427818E-4</v>
      </c>
      <c r="J80">
        <f t="shared" si="5"/>
        <v>0.82815857449775887</v>
      </c>
    </row>
  </sheetData>
  <sortState xmlns:xlrd2="http://schemas.microsoft.com/office/spreadsheetml/2017/richdata2" ref="B2:E80">
    <sortCondition descending="1" ref="B2:B80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2025-11-20T11:55:22Z</dcterms:created>
  <dcterms:modified xsi:type="dcterms:W3CDTF">2025-11-20T12:44:35Z</dcterms:modified>
</cp:coreProperties>
</file>